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'Plan'!$A$4:$J$93</definedName>
  </definedNames>
  <calcPr calcId="124519" fullCalcOnLoad="1"/>
</workbook>
</file>

<file path=xl/styles.xml><?xml version="1.0" encoding="utf-8"?>
<styleSheet xmlns="http://schemas.openxmlformats.org/spreadsheetml/2006/main">
  <numFmts count="1">
    <numFmt numFmtId="164"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4"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4" fontId="4" fillId="0" borderId="1" pivotButton="0" quotePrefix="0" xfId="0"/>
    <xf numFmtId="0" fontId="5" fillId="0" borderId="1" pivotButton="0" quotePrefix="0" xfId="0"/>
    <xf numFmtId="9" fontId="5" fillId="0" borderId="1" pivotButton="0" quotePrefix="0" xfId="0"/>
    <xf numFmtId="164" fontId="4" fillId="3" borderId="1" applyAlignment="1" pivotButton="0" quotePrefix="0" xfId="0">
      <alignment vertical="top"/>
    </xf>
    <xf numFmtId="164" fontId="4"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9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3"/>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20" t="n">
        <v>46317</v>
      </c>
      <c r="H5" s="20"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20" t="n">
        <v>46317</v>
      </c>
      <c r="H6" s="20"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20" t="n">
        <v>46317</v>
      </c>
      <c r="H7" s="20"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20" t="n">
        <v>46317</v>
      </c>
      <c r="H8" s="20" t="n"/>
      <c r="I8" s="9">
        <f>IF(AND(G8&lt;&gt;"",H8&lt;&gt;""),H8-G8+1,"")</f>
        <v/>
      </c>
      <c r="J8" s="10" t="inlineStr">
        <is>
          <t>Code done. 24 Oct: Google LIVE (Google Cloud project RGBKart, consent screen in production, web client, enabled in Supabase; tested with a new account). To do: Meta app for Facebook, enable in Supabase.</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20" t="n">
        <v>46317</v>
      </c>
      <c r="H9" s="20"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20" t="n">
        <v>46317</v>
      </c>
      <c r="H10" s="20"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20" t="n">
        <v>46317</v>
      </c>
      <c r="H11" s="20"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20" t="n">
        <v>46317</v>
      </c>
      <c r="H12" s="20"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20" t="n">
        <v>46317</v>
      </c>
      <c r="H13" s="20"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20" t="n">
        <v>46317</v>
      </c>
      <c r="H14" s="20"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20" t="n">
        <v>46317</v>
      </c>
      <c r="H15" s="20"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20" t="n">
        <v>46317</v>
      </c>
      <c r="H16" s="20"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20" t="n">
        <v>46317</v>
      </c>
      <c r="H17" s="20"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20" t="n">
        <v>46317</v>
      </c>
      <c r="H18" s="20"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20" t="n">
        <v>46317</v>
      </c>
      <c r="H19" s="20"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20" t="n">
        <v>46317</v>
      </c>
      <c r="H20" s="20"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20" t="n">
        <v>46317</v>
      </c>
      <c r="H21" s="20"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20" t="n">
        <v>46317</v>
      </c>
      <c r="H22" s="20"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20" t="n">
        <v>46317</v>
      </c>
      <c r="H23" s="20"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20" t="n">
        <v>46317</v>
      </c>
      <c r="H24" s="20"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20" t="n">
        <v>46317</v>
      </c>
      <c r="H25" s="20"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20" t="n">
        <v>46317</v>
      </c>
      <c r="H26" s="20"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20" t="n">
        <v>46317</v>
      </c>
      <c r="H27" s="20"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20" t="n">
        <v>46318</v>
      </c>
      <c r="H28" s="20"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20" t="n">
        <v>46317</v>
      </c>
      <c r="H29" s="20"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20" t="n">
        <v>46318</v>
      </c>
      <c r="H30" s="20"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20" t="n"/>
      <c r="H31" s="20"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20" t="n"/>
      <c r="H32" s="20"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20" t="n">
        <v>46318</v>
      </c>
      <c r="H33" s="20"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20" t="n">
        <v>46317</v>
      </c>
      <c r="H34" s="20"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20" t="n">
        <v>46317</v>
      </c>
      <c r="H35" s="20"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20" t="n">
        <v>46317</v>
      </c>
      <c r="H36" s="20"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20" t="n"/>
      <c r="H37" s="20"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20" t="n">
        <v>46317</v>
      </c>
      <c r="H38" s="20"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20" t="n">
        <v>46317</v>
      </c>
      <c r="H39" s="20"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20" t="n">
        <v>46318</v>
      </c>
      <c r="H40" s="20"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20" t="n"/>
      <c r="H41" s="20"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20" t="n"/>
      <c r="H42" s="20"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20" t="n"/>
      <c r="H43" s="20"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20" t="n">
        <v>46317</v>
      </c>
      <c r="H44" s="20"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20" t="n">
        <v>46317</v>
      </c>
      <c r="H45" s="20"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20" t="n">
        <v>46317</v>
      </c>
      <c r="H46" s="20"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20" t="n">
        <v>46317</v>
      </c>
      <c r="H47" s="20"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20" t="n">
        <v>46317</v>
      </c>
      <c r="H48" s="20"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20" t="n">
        <v>46317</v>
      </c>
      <c r="H49" s="20"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20" t="n">
        <v>46317</v>
      </c>
      <c r="H50" s="20"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20" t="n">
        <v>46318</v>
      </c>
      <c r="H51" s="20"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20" t="n">
        <v>46318</v>
      </c>
      <c r="H52" s="20"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Done</t>
        </is>
      </c>
      <c r="G53" s="20" t="n">
        <v>46317</v>
      </c>
      <c r="H53" s="20" t="n">
        <v>46318</v>
      </c>
      <c r="I53" s="9">
        <f>IF(AND(G53&lt;&gt;"",H53&lt;&gt;""),H53-G53+1,"")</f>
        <v/>
      </c>
      <c r="J53" s="10" t="inlineStr">
        <is>
          <t>23 Oct: Alerts page + header bell + email via Resend for orders, payments, listing review, shop approval, messages, Featured/ad ending soon. Each person can switch emails off. Emails live 23 Oct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20" t="n">
        <v>46318</v>
      </c>
      <c r="H54" s="20"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20" t="n">
        <v>46318</v>
      </c>
      <c r="H55" s="20"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20" t="n">
        <v>46318</v>
      </c>
      <c r="H56" s="20"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Done</t>
        </is>
      </c>
      <c r="G57" s="20" t="n">
        <v>46318</v>
      </c>
      <c r="H57" s="20" t="n">
        <v>46318</v>
      </c>
      <c r="I57" s="14">
        <f>IF(AND(G57&lt;&gt;"",H57&lt;&gt;""),H57-G57+1,"")</f>
        <v/>
      </c>
      <c r="J57" s="10" t="inlineStr">
        <is>
          <t>23 Oct: live at https://rgbkart.com (renewed to 14 Aug 2027, auto-renewal on). Old WordPress removed (mailboxes kept); new PHP/HTML website with SSL; GitHub uploads there (FTP u456241157.deploy, SITE_URL); Supabase Site URL updated; rgbkartdemo.hkmanik.com forwards to rgbkart.com; www forwards to rgbkart.com</t>
        </is>
      </c>
    </row>
    <row r="58">
      <c r="A58" s="11" t="n">
        <v>7</v>
      </c>
      <c r="B58" s="12" t="inlineStr">
        <is>
          <t>Launch</t>
        </is>
      </c>
      <c r="C58" s="13" t="inlineStr">
        <is>
          <t>7.2</t>
        </is>
      </c>
      <c r="D58" s="12" t="inlineStr">
        <is>
          <t>Email sender</t>
        </is>
      </c>
      <c r="E58" s="12" t="inlineStr">
        <is>
          <t>Custom SMTP and branded auth email templates</t>
        </is>
      </c>
      <c r="F58" s="7" t="inlineStr">
        <is>
          <t>Done</t>
        </is>
      </c>
      <c r="G58" s="20" t="n">
        <v>46318</v>
      </c>
      <c r="H58" s="20" t="n">
        <v>46318</v>
      </c>
      <c r="I58" s="14">
        <f>IF(AND(G58&lt;&gt;"",H58&lt;&gt;""),H58-G58+1,"")</f>
        <v/>
      </c>
      <c r="J58" s="10" t="inlineStr">
        <is>
          <t>23 Oct: Supabase Auth sends through Resend SMTP (no-reply@rgbkart.com, 100/hour). Was: 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20" t="n">
        <v>46318</v>
      </c>
      <c r="H59" s="20"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20" t="n">
        <v>46318</v>
      </c>
      <c r="H60" s="20"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20" t="n">
        <v>46318</v>
      </c>
      <c r="H61" s="20"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20" t="n">
        <v>46318</v>
      </c>
      <c r="H62" s="20"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20" t="n"/>
      <c r="H63" s="20"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Done</t>
        </is>
      </c>
      <c r="G64" s="20" t="n">
        <v>46318</v>
      </c>
      <c r="H64" s="20" t="n">
        <v>46318</v>
      </c>
      <c r="I64" s="14">
        <f>IF(AND(G64&lt;&gt;"",H64&lt;&gt;""),H64-G64+1,"")</f>
        <v/>
      </c>
      <c r="J64" s="10" t="inlineStr">
        <is>
          <t>23 Oct (0048): test email received. Set up: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20" t="n">
        <v>46318</v>
      </c>
      <c r="H65" s="20"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20" t="n">
        <v>46317</v>
      </c>
      <c r="H66" s="20"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20" t="n">
        <v>46317</v>
      </c>
      <c r="H67" s="20"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20" t="n">
        <v>46317</v>
      </c>
      <c r="H68" s="20"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20" t="n">
        <v>46317</v>
      </c>
      <c r="H69" s="20"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20" t="n">
        <v>46317</v>
      </c>
      <c r="H70" s="20"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20" t="n">
        <v>46317</v>
      </c>
      <c r="H71" s="20"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20" t="n">
        <v>46318</v>
      </c>
      <c r="H72" s="20"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20" t="n">
        <v>46318</v>
      </c>
      <c r="H73" s="20"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20" t="n">
        <v>46318</v>
      </c>
      <c r="H74" s="20"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20" t="n">
        <v>46318</v>
      </c>
      <c r="H75" s="20"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20" t="n">
        <v>46318</v>
      </c>
      <c r="H76" s="20"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20" t="n">
        <v>46318</v>
      </c>
      <c r="H77" s="20"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20" t="n">
        <v>46318</v>
      </c>
      <c r="H78" s="20"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20" t="n">
        <v>46318</v>
      </c>
      <c r="H79" s="20"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20" t="n">
        <v>46318</v>
      </c>
      <c r="H80" s="20"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20" t="n">
        <v>46318</v>
      </c>
      <c r="H81" s="20"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20" t="n">
        <v>46318</v>
      </c>
      <c r="H82" s="20"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20" t="n">
        <v>46318</v>
      </c>
      <c r="H83" s="20"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20" t="n">
        <v>46318</v>
      </c>
      <c r="H84" s="20"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20" t="n">
        <v>46318</v>
      </c>
      <c r="H85" s="20"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20" t="n">
        <v>46318</v>
      </c>
      <c r="H86" s="20"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20" t="n">
        <v>46318</v>
      </c>
      <c r="H87" s="20"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20" t="n">
        <v>46318</v>
      </c>
      <c r="H88" s="20" t="n">
        <v>46318</v>
      </c>
      <c r="I88" s="9">
        <f>IF(AND(G88&lt;&gt;"",H88&lt;&gt;""),H88-G88+1,"")</f>
        <v/>
      </c>
      <c r="J88" s="10" t="inlineStr">
        <is>
          <t>23 Oct (see 5.10)</t>
        </is>
      </c>
    </row>
    <row r="89">
      <c r="A89" s="4" t="n">
        <v>8</v>
      </c>
      <c r="B89" s="5" t="inlineStr">
        <is>
          <t>Extra work (added on owner's request)</t>
        </is>
      </c>
      <c r="C89" s="6" t="inlineStr">
        <is>
          <t>8.24</t>
        </is>
      </c>
      <c r="D89" s="5" t="inlineStr">
        <is>
          <t>Users page with Block / Delete</t>
        </is>
      </c>
      <c r="E89" s="5" t="inlineStr">
        <is>
          <t>Admin → Users: every account (staff, shop, one-time seller, customer, guest) with counts; Block / Unblock (Master or Co-admin), Delete permanently (Master only, type the email)</t>
        </is>
      </c>
      <c r="F89" s="7" t="inlineStr">
        <is>
          <t>Done</t>
        </is>
      </c>
      <c r="G89" s="20" t="n">
        <v>46318</v>
      </c>
      <c r="H89" s="20" t="n">
        <v>46318</v>
      </c>
      <c r="I89" s="9">
        <f>IF(AND(G89&lt;&gt;"",H89&lt;&gt;""),H89-G89+1,"")</f>
        <v/>
      </c>
      <c r="J89" s="10" t="inlineStr">
        <is>
          <t>23 Oct (0047)</t>
        </is>
      </c>
    </row>
    <row r="90">
      <c r="A90" s="4" t="n">
        <v>8</v>
      </c>
      <c r="B90" s="5" t="inlineStr">
        <is>
          <t>Extra work (added on owner's request)</t>
        </is>
      </c>
      <c r="C90" s="6" t="inlineStr">
        <is>
          <t>8.25</t>
        </is>
      </c>
      <c r="D90" s="5" t="inlineStr">
        <is>
          <t>Demo data removed, sections kept</t>
        </is>
      </c>
      <c r="E90" s="5" t="inlineStr">
        <is>
          <t>All demo shops, products, buyers, orders and reviews deleted from the live site; the 14 home sections kept (empty ones hide)</t>
        </is>
      </c>
      <c r="F90" s="7" t="inlineStr">
        <is>
          <t>Done</t>
        </is>
      </c>
      <c r="G90" s="20" t="n">
        <v>46318</v>
      </c>
      <c r="H90" s="20" t="n">
        <v>46318</v>
      </c>
      <c r="I90" s="9">
        <f>IF(AND(G90&lt;&gt;"",H90&lt;&gt;""),H90-G90+1,"")</f>
        <v/>
      </c>
      <c r="J90" s="10" t="inlineStr">
        <is>
          <t>23 Oct (seed/demo_remove_keep_sections.sql)</t>
        </is>
      </c>
    </row>
    <row r="91">
      <c r="A91" s="4" t="n">
        <v>8</v>
      </c>
      <c r="B91" s="5" t="inlineStr">
        <is>
          <t>Extra work (added on owner's request)</t>
        </is>
      </c>
      <c r="C91" s="6" t="inlineStr">
        <is>
          <t>8.26</t>
        </is>
      </c>
      <c r="D91" s="5" t="inlineStr">
        <is>
          <t>Old demo address forwards</t>
        </is>
      </c>
      <c r="E91" s="5" t="inlineStr">
        <is>
          <t>rgbkartdemo.hkmanik.com and www.rgbkart.com forward every link to https://rgbkart.com</t>
        </is>
      </c>
      <c r="F91" s="7" t="inlineStr">
        <is>
          <t>Done</t>
        </is>
      </c>
      <c r="G91" s="20" t="n">
        <v>46318</v>
      </c>
      <c r="H91" s="20" t="n">
        <v>46318</v>
      </c>
      <c r="I91" s="9">
        <f>IF(AND(G91&lt;&gt;"",H91&lt;&gt;""),H91-G91+1,"")</f>
        <v/>
      </c>
      <c r="J91" s="10" t="inlineStr">
        <is>
          <t>23 Oct (.htaccess)</t>
        </is>
      </c>
    </row>
    <row r="92">
      <c r="A92" s="4" t="n">
        <v>8</v>
      </c>
      <c r="B92" s="5" t="inlineStr">
        <is>
          <t>Extra work (added on owner's request)</t>
        </is>
      </c>
      <c r="C92" s="6" t="inlineStr">
        <is>
          <t>8.28</t>
        </is>
      </c>
      <c r="D92" s="5" t="inlineStr">
        <is>
          <t>Seller agrees to the rules</t>
        </is>
      </c>
      <c r="E92" s="5" t="inlineStr">
        <is>
          <t>Required tick box at shop sign-up, on every product sent for review and on one-time listings: follow the laws of the Government of Bangladesh and RGBKart's rules; time saved</t>
        </is>
      </c>
      <c r="F92" s="7" t="inlineStr">
        <is>
          <t>Done</t>
        </is>
      </c>
      <c r="G92" s="20" t="n">
        <v>46318</v>
      </c>
      <c r="H92" s="20" t="n">
        <v>46318</v>
      </c>
      <c r="I92" s="9">
        <f>IF(AND(G92&lt;&gt;"",H92&lt;&gt;""),H92-G92+1,"")</f>
        <v/>
      </c>
      <c r="J92" s="10" t="inlineStr">
        <is>
          <t>23 Oct (0049)</t>
        </is>
      </c>
    </row>
    <row r="93">
      <c r="A93" s="4" t="n">
        <v>8</v>
      </c>
      <c r="B93" s="5" t="inlineStr">
        <is>
          <t>Extra work (added on owner's request)</t>
        </is>
      </c>
      <c r="C93" s="6" t="inlineStr">
        <is>
          <t>8.27</t>
        </is>
      </c>
      <c r="D93" s="5" t="inlineStr">
        <is>
          <t>Live site walk-through checklist</t>
        </is>
      </c>
      <c r="E93" s="5" t="inlineStr">
        <is>
          <t>Step-by-step list of everything to check on the live site (RGBKart_Live_Site_Checklist.xlsx)</t>
        </is>
      </c>
      <c r="F93" s="7" t="inlineStr">
        <is>
          <t>In progress</t>
        </is>
      </c>
      <c r="G93" s="20" t="n">
        <v>46318</v>
      </c>
      <c r="H93" s="20" t="n"/>
      <c r="I93" s="9">
        <f>IF(AND(G93&lt;&gt;"",H93&lt;&gt;""),H93-G93+1,"")</f>
        <v/>
      </c>
      <c r="J93" s="10" t="inlineStr">
        <is>
          <t>23 Oct: owner to go through it and note Pass / Fail</t>
        </is>
      </c>
    </row>
  </sheetData>
  <autoFilter ref="A4:J93"/>
  <mergeCells count="1">
    <mergeCell ref="A2:J2"/>
  </mergeCells>
  <conditionalFormatting sqref="F5:F29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93" showDropDown="0" showInputMessage="0" showErrorMessage="0" allowBlank="1" type="list">
      <formula1>"Not started,In progress,Blocked,Done,Not needed"</formula1>
    </dataValidation>
    <dataValidation sqref="G5:H29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2"/>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COUNTIF(Plan!$A$5:$A$293,A4)-COUNTIFS(Plan!$A$5:$A$293,A4,Plan!$F$5:$F$293,"Not needed")</f>
        <v/>
      </c>
      <c r="D4" s="15">
        <f>COUNTIFS(Plan!$A$5:$A$293,$A4,Plan!$F$5:$F$293,"Done")</f>
        <v/>
      </c>
      <c r="E4" s="15">
        <f>COUNTIFS(Plan!$A$5:$A$293,$A4,Plan!$F$5:$F$293,"In progress")</f>
        <v/>
      </c>
      <c r="F4" s="15">
        <f>COUNTIFS(Plan!$A$5:$A$293,$A4,Plan!$F$5:$F$293,"Blocked")</f>
        <v/>
      </c>
      <c r="G4" s="15">
        <f>C4-D4-E4-F4</f>
        <v/>
      </c>
      <c r="H4" s="16">
        <f>IF(C4=0,0,D4/C4)</f>
        <v/>
      </c>
      <c r="I4" s="21">
        <f>IF(_xlfn.MINIFS(Plan!$G$5:$G$293,Plan!$A$5:$A$293,A4)=0,"",_xlfn.MINIFS(Plan!$G$5:$G$293,Plan!$A$5:$A$293,A4))</f>
        <v/>
      </c>
      <c r="J4" s="21">
        <f>IF(_xlfn.MAXIFS(Plan!$H$5:$H$293,Plan!$A$5:$A$293,A4)=0,"",_xlfn.MAXIFS(Plan!$H$5:$H$293,Plan!$A$5:$A$293,A4))</f>
        <v/>
      </c>
    </row>
    <row r="5">
      <c r="A5" s="15" t="n">
        <v>1</v>
      </c>
      <c r="B5" s="15" t="inlineStr">
        <is>
          <t>Catalog &amp; Seller Products</t>
        </is>
      </c>
      <c r="C5" s="15">
        <f>COUNTIF(Plan!$A$5:$A$293,A5)-COUNTIFS(Plan!$A$5:$A$293,A5,Plan!$F$5:$F$293,"Not needed")</f>
        <v/>
      </c>
      <c r="D5" s="15">
        <f>COUNTIFS(Plan!$A$5:$A$293,$A5,Plan!$F$5:$F$293,"Done")</f>
        <v/>
      </c>
      <c r="E5" s="15">
        <f>COUNTIFS(Plan!$A$5:$A$293,$A5,Plan!$F$5:$F$293,"In progress")</f>
        <v/>
      </c>
      <c r="F5" s="15">
        <f>COUNTIFS(Plan!$A$5:$A$293,$A5,Plan!$F$5:$F$293,"Blocked")</f>
        <v/>
      </c>
      <c r="G5" s="15">
        <f>C5-D5-E5-F5</f>
        <v/>
      </c>
      <c r="H5" s="16">
        <f>IF(C5=0,0,D5/C5)</f>
        <v/>
      </c>
      <c r="I5" s="21">
        <f>IF(_xlfn.MINIFS(Plan!$G$5:$G$293,Plan!$A$5:$A$293,A5)=0,"",_xlfn.MINIFS(Plan!$G$5:$G$293,Plan!$A$5:$A$293,A5))</f>
        <v/>
      </c>
      <c r="J5" s="21">
        <f>IF(_xlfn.MAXIFS(Plan!$H$5:$H$293,Plan!$A$5:$A$293,A5)=0,"",_xlfn.MAXIFS(Plan!$H$5:$H$293,Plan!$A$5:$A$293,A5))</f>
        <v/>
      </c>
    </row>
    <row r="6">
      <c r="A6" s="15" t="n">
        <v>2</v>
      </c>
      <c r="B6" s="15" t="inlineStr">
        <is>
          <t>Customer Shopping</t>
        </is>
      </c>
      <c r="C6" s="15">
        <f>COUNTIF(Plan!$A$5:$A$293,A6)-COUNTIFS(Plan!$A$5:$A$293,A6,Plan!$F$5:$F$293,"Not needed")</f>
        <v/>
      </c>
      <c r="D6" s="15">
        <f>COUNTIFS(Plan!$A$5:$A$293,$A6,Plan!$F$5:$F$293,"Done")</f>
        <v/>
      </c>
      <c r="E6" s="15">
        <f>COUNTIFS(Plan!$A$5:$A$293,$A6,Plan!$F$5:$F$293,"In progress")</f>
        <v/>
      </c>
      <c r="F6" s="15">
        <f>COUNTIFS(Plan!$A$5:$A$293,$A6,Plan!$F$5:$F$293,"Blocked")</f>
        <v/>
      </c>
      <c r="G6" s="15">
        <f>C6-D6-E6-F6</f>
        <v/>
      </c>
      <c r="H6" s="16">
        <f>IF(C6=0,0,D6/C6)</f>
        <v/>
      </c>
      <c r="I6" s="21">
        <f>IF(_xlfn.MINIFS(Plan!$G$5:$G$293,Plan!$A$5:$A$293,A6)=0,"",_xlfn.MINIFS(Plan!$G$5:$G$293,Plan!$A$5:$A$293,A6))</f>
        <v/>
      </c>
      <c r="J6" s="21">
        <f>IF(_xlfn.MAXIFS(Plan!$H$5:$H$293,Plan!$A$5:$A$293,A6)=0,"",_xlfn.MAXIFS(Plan!$H$5:$H$293,Plan!$A$5:$A$293,A6))</f>
        <v/>
      </c>
    </row>
    <row r="7">
      <c r="A7" s="15" t="n">
        <v>3</v>
      </c>
      <c r="B7" s="15" t="inlineStr">
        <is>
          <t>Checkout &amp; Payments</t>
        </is>
      </c>
      <c r="C7" s="15">
        <f>COUNTIF(Plan!$A$5:$A$293,A7)-COUNTIFS(Plan!$A$5:$A$293,A7,Plan!$F$5:$F$293,"Not needed")</f>
        <v/>
      </c>
      <c r="D7" s="15">
        <f>COUNTIFS(Plan!$A$5:$A$293,$A7,Plan!$F$5:$F$293,"Done")</f>
        <v/>
      </c>
      <c r="E7" s="15">
        <f>COUNTIFS(Plan!$A$5:$A$293,$A7,Plan!$F$5:$F$293,"In progress")</f>
        <v/>
      </c>
      <c r="F7" s="15">
        <f>COUNTIFS(Plan!$A$5:$A$293,$A7,Plan!$F$5:$F$293,"Blocked")</f>
        <v/>
      </c>
      <c r="G7" s="15">
        <f>C7-D7-E7-F7</f>
        <v/>
      </c>
      <c r="H7" s="16">
        <f>IF(C7=0,0,D7/C7)</f>
        <v/>
      </c>
      <c r="I7" s="21">
        <f>IF(_xlfn.MINIFS(Plan!$G$5:$G$293,Plan!$A$5:$A$293,A7)=0,"",_xlfn.MINIFS(Plan!$G$5:$G$293,Plan!$A$5:$A$293,A7))</f>
        <v/>
      </c>
      <c r="J7" s="21">
        <f>IF(_xlfn.MAXIFS(Plan!$H$5:$H$293,Plan!$A$5:$A$293,A7)=0,"",_xlfn.MAXIFS(Plan!$H$5:$H$293,Plan!$A$5:$A$293,A7))</f>
        <v/>
      </c>
    </row>
    <row r="8">
      <c r="A8" s="15" t="n">
        <v>4</v>
      </c>
      <c r="B8" s="15" t="inlineStr">
        <is>
          <t>Orders &amp; Delivery</t>
        </is>
      </c>
      <c r="C8" s="15">
        <f>COUNTIF(Plan!$A$5:$A$293,A8)-COUNTIFS(Plan!$A$5:$A$293,A8,Plan!$F$5:$F$293,"Not needed")</f>
        <v/>
      </c>
      <c r="D8" s="15">
        <f>COUNTIFS(Plan!$A$5:$A$293,$A8,Plan!$F$5:$F$293,"Done")</f>
        <v/>
      </c>
      <c r="E8" s="15">
        <f>COUNTIFS(Plan!$A$5:$A$293,$A8,Plan!$F$5:$F$293,"In progress")</f>
        <v/>
      </c>
      <c r="F8" s="15">
        <f>COUNTIFS(Plan!$A$5:$A$293,$A8,Plan!$F$5:$F$293,"Blocked")</f>
        <v/>
      </c>
      <c r="G8" s="15">
        <f>C8-D8-E8-F8</f>
        <v/>
      </c>
      <c r="H8" s="16">
        <f>IF(C8=0,0,D8/C8)</f>
        <v/>
      </c>
      <c r="I8" s="21">
        <f>IF(_xlfn.MINIFS(Plan!$G$5:$G$293,Plan!$A$5:$A$293,A8)=0,"",_xlfn.MINIFS(Plan!$G$5:$G$293,Plan!$A$5:$A$293,A8))</f>
        <v/>
      </c>
      <c r="J8" s="21">
        <f>IF(_xlfn.MAXIFS(Plan!$H$5:$H$293,Plan!$A$5:$A$293,A8)=0,"",_xlfn.MAXIFS(Plan!$H$5:$H$293,Plan!$A$5:$A$293,A8))</f>
        <v/>
      </c>
    </row>
    <row r="9">
      <c r="A9" s="15" t="n">
        <v>5</v>
      </c>
      <c r="B9" s="15" t="inlineStr">
        <is>
          <t>Money: Payouts, Promotions &amp; Admin</t>
        </is>
      </c>
      <c r="C9" s="15">
        <f>COUNTIF(Plan!$A$5:$A$293,A9)-COUNTIFS(Plan!$A$5:$A$293,A9,Plan!$F$5:$F$293,"Not needed")</f>
        <v/>
      </c>
      <c r="D9" s="15">
        <f>COUNTIFS(Plan!$A$5:$A$293,$A9,Plan!$F$5:$F$293,"Done")</f>
        <v/>
      </c>
      <c r="E9" s="15">
        <f>COUNTIFS(Plan!$A$5:$A$293,$A9,Plan!$F$5:$F$293,"In progress")</f>
        <v/>
      </c>
      <c r="F9" s="15">
        <f>COUNTIFS(Plan!$A$5:$A$293,$A9,Plan!$F$5:$F$293,"Blocked")</f>
        <v/>
      </c>
      <c r="G9" s="15">
        <f>C9-D9-E9-F9</f>
        <v/>
      </c>
      <c r="H9" s="16">
        <f>IF(C9=0,0,D9/C9)</f>
        <v/>
      </c>
      <c r="I9" s="21">
        <f>IF(_xlfn.MINIFS(Plan!$G$5:$G$293,Plan!$A$5:$A$293,A9)=0,"",_xlfn.MINIFS(Plan!$G$5:$G$293,Plan!$A$5:$A$293,A9))</f>
        <v/>
      </c>
      <c r="J9" s="21">
        <f>IF(_xlfn.MAXIFS(Plan!$H$5:$H$293,Plan!$A$5:$A$293,A9)=0,"",_xlfn.MAXIFS(Plan!$H$5:$H$293,Plan!$A$5:$A$293,A9))</f>
        <v/>
      </c>
    </row>
    <row r="10">
      <c r="A10" s="15" t="n">
        <v>6</v>
      </c>
      <c r="B10" s="15" t="inlineStr">
        <is>
          <t>Reviews, Notifications &amp; Trust</t>
        </is>
      </c>
      <c r="C10" s="15">
        <f>COUNTIF(Plan!$A$5:$A$293,A10)-COUNTIFS(Plan!$A$5:$A$293,A10,Plan!$F$5:$F$293,"Not needed")</f>
        <v/>
      </c>
      <c r="D10" s="15">
        <f>COUNTIFS(Plan!$A$5:$A$293,$A10,Plan!$F$5:$F$293,"Done")</f>
        <v/>
      </c>
      <c r="E10" s="15">
        <f>COUNTIFS(Plan!$A$5:$A$293,$A10,Plan!$F$5:$F$293,"In progress")</f>
        <v/>
      </c>
      <c r="F10" s="15">
        <f>COUNTIFS(Plan!$A$5:$A$293,$A10,Plan!$F$5:$F$293,"Blocked")</f>
        <v/>
      </c>
      <c r="G10" s="15">
        <f>C10-D10-E10-F10</f>
        <v/>
      </c>
      <c r="H10" s="16">
        <f>IF(C10=0,0,D10/C10)</f>
        <v/>
      </c>
      <c r="I10" s="21">
        <f>IF(_xlfn.MINIFS(Plan!$G$5:$G$293,Plan!$A$5:$A$293,A10)=0,"",_xlfn.MINIFS(Plan!$G$5:$G$293,Plan!$A$5:$A$293,A10))</f>
        <v/>
      </c>
      <c r="J10" s="21">
        <f>IF(_xlfn.MAXIFS(Plan!$H$5:$H$293,Plan!$A$5:$A$293,A10)=0,"",_xlfn.MAXIFS(Plan!$H$5:$H$293,Plan!$A$5:$A$293,A10))</f>
        <v/>
      </c>
    </row>
    <row r="11">
      <c r="A11" s="15" t="n">
        <v>7</v>
      </c>
      <c r="B11" s="15" t="inlineStr">
        <is>
          <t>Launch</t>
        </is>
      </c>
      <c r="C11" s="15">
        <f>COUNTIF(Plan!$A$5:$A$293,A11)-COUNTIFS(Plan!$A$5:$A$293,A11,Plan!$F$5:$F$293,"Not needed")</f>
        <v/>
      </c>
      <c r="D11" s="15">
        <f>COUNTIFS(Plan!$A$5:$A$293,$A11,Plan!$F$5:$F$293,"Done")</f>
        <v/>
      </c>
      <c r="E11" s="15">
        <f>COUNTIFS(Plan!$A$5:$A$293,$A11,Plan!$F$5:$F$293,"In progress")</f>
        <v/>
      </c>
      <c r="F11" s="15">
        <f>COUNTIFS(Plan!$A$5:$A$293,$A11,Plan!$F$5:$F$293,"Blocked")</f>
        <v/>
      </c>
      <c r="G11" s="15">
        <f>C11-D11-E11-F11</f>
        <v/>
      </c>
      <c r="H11" s="16">
        <f>IF(C11=0,0,D11/C11)</f>
        <v/>
      </c>
      <c r="I11" s="21">
        <f>IF(_xlfn.MINIFS(Plan!$G$5:$G$293,Plan!$A$5:$A$293,A11)=0,"",_xlfn.MINIFS(Plan!$G$5:$G$293,Plan!$A$5:$A$293,A11))</f>
        <v/>
      </c>
      <c r="J11" s="21">
        <f>IF(_xlfn.MAXIFS(Plan!$H$5:$H$293,Plan!$A$5:$A$293,A11)=0,"",_xlfn.MAXIFS(Plan!$H$5:$H$293,Plan!$A$5:$A$293,A11))</f>
        <v/>
      </c>
    </row>
    <row r="12">
      <c r="A12" s="15" t="n">
        <v>8</v>
      </c>
      <c r="B12" s="15" t="inlineStr">
        <is>
          <t>Extra work (added on owner's request)</t>
        </is>
      </c>
      <c r="C12" s="15">
        <f>COUNTIF(Plan!$A$5:$A$293,A12)-COUNTIFS(Plan!$A$5:$A$293,A12,Plan!$F$5:$F$293,"Not needed")</f>
        <v/>
      </c>
      <c r="D12" s="15">
        <f>COUNTIFS(Plan!$A$5:$A$293,$A12,Plan!$F$5:$F$293,"Done")</f>
        <v/>
      </c>
      <c r="E12" s="15">
        <f>COUNTIFS(Plan!$A$5:$A$293,$A12,Plan!$F$5:$F$293,"In progress")</f>
        <v/>
      </c>
      <c r="F12" s="15">
        <f>COUNTIFS(Plan!$A$5:$A$293,$A12,Plan!$F$5:$F$293,"Blocked")</f>
        <v/>
      </c>
      <c r="G12" s="15">
        <f>C12-D12-E12-F12</f>
        <v/>
      </c>
      <c r="H12" s="16">
        <f>IF(C12=0,0,D12/C12)</f>
        <v/>
      </c>
      <c r="I12" s="21">
        <f>IF(_xlfn.MINIFS(Plan!$G$5:$G$293,Plan!$A$5:$A$293,A12)=0,"",_xlfn.MINIFS(Plan!$G$5:$G$293,Plan!$A$5:$A$293,A12))</f>
        <v/>
      </c>
      <c r="J12" s="21">
        <f>IF(_xlfn.MAXIFS(Plan!$H$5:$H$293,Plan!$A$5:$A$293,A12)=0,"",_xlfn.MAXIFS(Plan!$H$5:$H$293,Plan!$A$5:$A$293,A12))</f>
        <v/>
      </c>
    </row>
    <row r="13">
      <c r="A13" s="18" t="n"/>
      <c r="B13" s="18" t="inlineStr">
        <is>
          <t>All phases</t>
        </is>
      </c>
      <c r="C13" s="18">
        <f>SUM(C4:C12)</f>
        <v/>
      </c>
      <c r="D13" s="18">
        <f>SUM(D4:D12)</f>
        <v/>
      </c>
      <c r="E13" s="18">
        <f>SUM(E4:E12)</f>
        <v/>
      </c>
      <c r="F13" s="18">
        <f>SUM(F4:F12)</f>
        <v/>
      </c>
      <c r="G13" s="18">
        <f>SUM(G4:G12)</f>
        <v/>
      </c>
      <c r="H13" s="19">
        <f>IF(C13=0,0,D13/C13)</f>
        <v/>
      </c>
      <c r="I13" s="18" t="n"/>
      <c r="J13" s="18" t="n"/>
    </row>
    <row r="14"/>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2026-10-23T14:59:36Z</dcterms:created>
  <dcterms:modified xmlns:dcterms="http://purl.org/dc/terms/" xmlns:xsi="http://www.w3.org/2001/XMLSchema-instance" xsi:type="dcterms:W3CDTF">2026-10-24T04:59:01Z</dcterms:modified>
</cp:coreProperties>
</file>