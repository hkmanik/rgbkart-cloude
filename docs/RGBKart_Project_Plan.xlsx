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'Plan'!$A$4:$J$83</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8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hkmanik@gmail.com is Master Admin (22 Oct). To do: URL Configuration, open admin.html, test sign-in flows</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Done</t>
        </is>
      </c>
      <c r="G22" s="8" t="n">
        <v>46317</v>
      </c>
      <c r="H22" s="8" t="n">
        <v>46318</v>
      </c>
      <c r="I22" s="9">
        <f>IF(AND(G22&lt;&gt;"",H22&lt;&gt;""),H22-G22+1,"")</f>
        <v/>
      </c>
      <c r="J22" s="10" t="inlineStr">
        <is>
          <t>23 Oct: every word must match the product (name, description, code, tag), its category or its shop; matching shops shown in a row above the results, matching categories as buttons; results Featured first, then newest published; English and Bangla</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Done</t>
        </is>
      </c>
      <c r="G30" s="8" t="n">
        <v>46318</v>
      </c>
      <c r="H30" s="8" t="n">
        <v>46318</v>
      </c>
      <c r="I30" s="14">
        <f>IF(AND(G30&lt;&gt;"",H30&lt;&gt;""),H30-G30+1,"")</f>
        <v/>
      </c>
      <c r="J30" s="10" t="inlineStr">
        <is>
          <t>23 Oct: COD limits (0041_cod_limits.sql): biggest order per shop, lower first-order limit, orders on the way per buyer; set in Admin → Orders; checked by the database; checkout warns. 0041 run 23 Oct</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Done</t>
        </is>
      </c>
      <c r="G39" s="8" t="n">
        <v>46317</v>
      </c>
      <c r="H39" s="8" t="n">
        <v>46318</v>
      </c>
      <c r="I39" s="9">
        <f>IF(AND(G39&lt;&gt;"",H39&lt;&gt;""),H39-G39+1,"")</f>
        <v/>
      </c>
      <c r="J39" s="10" t="inlineStr">
        <is>
          <t>23 Oct: 0042_cancel_rules.sql: admin sets until which step buyers cancel themselves (New/Confirmed/Packed) and whether a reason is required; after that buyers ask the shop to cancel, shop accepts or declines with a note; alerts both ways; shops always give a reason. 0042 run 23 Oct</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Done</t>
        </is>
      </c>
      <c r="G50" s="8" t="n">
        <v>46317</v>
      </c>
      <c r="H50" s="8" t="n">
        <v>46318</v>
      </c>
      <c r="I50" s="14">
        <f>IF(AND(G50&lt;&gt;"",H50&lt;&gt;""),H50-G50+1,"")</f>
        <v/>
      </c>
      <c r="J50" s="10" t="inlineStr">
        <is>
          <t>23 Oct: Admin → Reports adds Top shops and Top products for any period; Download Excel = one workbook (Summary, Orders, Payments received, Top shops, Top products) made by site/xlsx-lite.js, no outside library; CSV summary kept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In progress</t>
        </is>
      </c>
      <c r="G53" s="8" t="n">
        <v>46317</v>
      </c>
      <c r="H53" s="8" t="n"/>
      <c r="I53" s="9">
        <f>IF(AND(G53&lt;&gt;"",H53&lt;&gt;""),H53-G53+1,"")</f>
        <v/>
      </c>
      <c r="J53" s="10" t="inlineStr">
        <is>
          <t>23 Oct: Alerts page + header bell + email via Resend for orders, payments, listing review, shop approval, messages, Featured/ad ending soon. Each person can switch emails off. Email sending pending, see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site online (e.g. Vercel/Netlify) on your domain</t>
        </is>
      </c>
      <c r="F57" s="7" t="inlineStr">
        <is>
          <t>Not started</t>
        </is>
      </c>
      <c r="G57" s="8" t="n"/>
      <c r="H57" s="8" t="n"/>
      <c r="I57" s="14">
        <f>IF(AND(G57&lt;&gt;"",H57&lt;&gt;""),H57-G57+1,"")</f>
        <v/>
      </c>
      <c r="J57" s="10" t="inlineStr"/>
    </row>
    <row r="58">
      <c r="A58" s="11" t="n">
        <v>7</v>
      </c>
      <c r="B58" s="12" t="inlineStr">
        <is>
          <t>Launch</t>
        </is>
      </c>
      <c r="C58" s="13" t="inlineStr">
        <is>
          <t>7.2</t>
        </is>
      </c>
      <c r="D58" s="12" t="inlineStr">
        <is>
          <t>Email sender</t>
        </is>
      </c>
      <c r="E58" s="12" t="inlineStr">
        <is>
          <t>Custom SMTP and branded auth email templates</t>
        </is>
      </c>
      <c r="F58" s="7" t="inlineStr">
        <is>
          <t>Not started</t>
        </is>
      </c>
      <c r="G58" s="8" t="n"/>
      <c r="H58" s="8" t="n"/>
      <c r="I58" s="14">
        <f>IF(AND(G58&lt;&gt;"",H58&lt;&gt;""),H58-G58+1,"")</f>
        <v/>
      </c>
      <c r="J58" s="10" t="inlineStr">
        <is>
          <t>Supabase free email is limited to a few per hour</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Not started</t>
        </is>
      </c>
      <c r="G61" s="8" t="n"/>
      <c r="H61" s="8" t="n"/>
      <c r="I61" s="14">
        <f>IF(AND(G61&lt;&gt;"",H61&lt;&gt;""),H61-G61+1,"")</f>
        <v/>
      </c>
      <c r="J61" s="10" t="inlineStr"/>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Blocked</t>
        </is>
      </c>
      <c r="G64" s="8" t="n"/>
      <c r="H64" s="8" t="n"/>
      <c r="I64" s="14">
        <f>IF(AND(G64&lt;&gt;"",H64&lt;&gt;""),H64-G64+1,"")</f>
        <v/>
      </c>
      <c r="J64" s="10" t="inlineStr">
        <is>
          <t>PENDING, set up later (owner, 23 Oct): waits for the real domain. Steps: Resend account + domain DNS records in Hostinger; deploy Edge Function send-alerts (in the repo); secrets RESEND_API_KEY, ALERT_FROM, SITE_URL; Supabase Cron every 5 min; first add a rule so only recent alerts are emailed. Alerts already show on the site (0021_alerts.sql run)</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Not started</t>
        </is>
      </c>
      <c r="G65" s="8" t="n"/>
      <c r="H65" s="8" t="n"/>
      <c r="I65" s="14">
        <f>IF(AND(G65&lt;&gt;"",H65&lt;&gt;""),H65-G65+1,"")</f>
        <v/>
      </c>
      <c r="J65" s="10" t="inlineStr">
        <is>
          <t>Run supabase/seed/demo_products_remove.sql in the SQL Editor (added 23 Oct for study and testing)</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sheetData>
  <autoFilter ref="A4:J83"/>
  <mergeCells count="1">
    <mergeCell ref="A2:J2"/>
  </mergeCells>
  <conditionalFormatting sqref="F5:F283">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83" showDropDown="0" showInputMessage="0" showErrorMessage="0" allowBlank="1" type="list">
      <formula1>"Not started,In progress,Blocked,Done,Not needed"</formula1>
    </dataValidation>
    <dataValidation sqref="G5:H283"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COUNTIF(Plan!$A$5:$A$283,A4)-COUNTIFS(Plan!$A$5:$A$283,A4,Plan!$F$5:$F$283,"Not needed")</f>
        <v/>
      </c>
      <c r="D4" s="15">
        <f>COUNTIFS(Plan!$A$5:$A$283,$A4,Plan!$F$5:$F$283,"Done")</f>
        <v/>
      </c>
      <c r="E4" s="15">
        <f>COUNTIFS(Plan!$A$5:$A$283,$A4,Plan!$F$5:$F$283,"In progress")</f>
        <v/>
      </c>
      <c r="F4" s="15">
        <f>COUNTIFS(Plan!$A$5:$A$283,$A4,Plan!$F$5:$F$283,"Blocked")</f>
        <v/>
      </c>
      <c r="G4" s="15">
        <f>C4-D4-E4-F4</f>
        <v/>
      </c>
      <c r="H4" s="16">
        <f>IF(C4=0,0,D4/C4)</f>
        <v/>
      </c>
      <c r="I4" s="17">
        <f>IF(_xlfn.MINIFS(Plan!$G$5:$G$283,Plan!$A$5:$A$283,A4)=0,"",_xlfn.MINIFS(Plan!$G$5:$G$283,Plan!$A$5:$A$283,A4))</f>
        <v/>
      </c>
      <c r="J4" s="17">
        <f>IF(_xlfn.MAXIFS(Plan!$H$5:$H$283,Plan!$A$5:$A$283,A4)=0,"",_xlfn.MAXIFS(Plan!$H$5:$H$283,Plan!$A$5:$A$283,A4))</f>
        <v/>
      </c>
    </row>
    <row r="5">
      <c r="A5" s="15" t="n">
        <v>1</v>
      </c>
      <c r="B5" s="15" t="inlineStr">
        <is>
          <t>Catalog &amp; Seller Products</t>
        </is>
      </c>
      <c r="C5" s="15">
        <f>COUNTIF(Plan!$A$5:$A$283,A5)-COUNTIFS(Plan!$A$5:$A$283,A5,Plan!$F$5:$F$283,"Not needed")</f>
        <v/>
      </c>
      <c r="D5" s="15">
        <f>COUNTIFS(Plan!$A$5:$A$283,$A5,Plan!$F$5:$F$283,"Done")</f>
        <v/>
      </c>
      <c r="E5" s="15">
        <f>COUNTIFS(Plan!$A$5:$A$283,$A5,Plan!$F$5:$F$283,"In progress")</f>
        <v/>
      </c>
      <c r="F5" s="15">
        <f>COUNTIFS(Plan!$A$5:$A$283,$A5,Plan!$F$5:$F$283,"Blocked")</f>
        <v/>
      </c>
      <c r="G5" s="15">
        <f>C5-D5-E5-F5</f>
        <v/>
      </c>
      <c r="H5" s="16">
        <f>IF(C5=0,0,D5/C5)</f>
        <v/>
      </c>
      <c r="I5" s="17">
        <f>IF(_xlfn.MINIFS(Plan!$G$5:$G$283,Plan!$A$5:$A$283,A5)=0,"",_xlfn.MINIFS(Plan!$G$5:$G$283,Plan!$A$5:$A$283,A5))</f>
        <v/>
      </c>
      <c r="J5" s="17">
        <f>IF(_xlfn.MAXIFS(Plan!$H$5:$H$283,Plan!$A$5:$A$283,A5)=0,"",_xlfn.MAXIFS(Plan!$H$5:$H$283,Plan!$A$5:$A$283,A5))</f>
        <v/>
      </c>
    </row>
    <row r="6">
      <c r="A6" s="15" t="n">
        <v>2</v>
      </c>
      <c r="B6" s="15" t="inlineStr">
        <is>
          <t>Customer Shopping</t>
        </is>
      </c>
      <c r="C6" s="15">
        <f>COUNTIF(Plan!$A$5:$A$283,A6)-COUNTIFS(Plan!$A$5:$A$283,A6,Plan!$F$5:$F$283,"Not needed")</f>
        <v/>
      </c>
      <c r="D6" s="15">
        <f>COUNTIFS(Plan!$A$5:$A$283,$A6,Plan!$F$5:$F$283,"Done")</f>
        <v/>
      </c>
      <c r="E6" s="15">
        <f>COUNTIFS(Plan!$A$5:$A$283,$A6,Plan!$F$5:$F$283,"In progress")</f>
        <v/>
      </c>
      <c r="F6" s="15">
        <f>COUNTIFS(Plan!$A$5:$A$283,$A6,Plan!$F$5:$F$283,"Blocked")</f>
        <v/>
      </c>
      <c r="G6" s="15">
        <f>C6-D6-E6-F6</f>
        <v/>
      </c>
      <c r="H6" s="16">
        <f>IF(C6=0,0,D6/C6)</f>
        <v/>
      </c>
      <c r="I6" s="17">
        <f>IF(_xlfn.MINIFS(Plan!$G$5:$G$283,Plan!$A$5:$A$283,A6)=0,"",_xlfn.MINIFS(Plan!$G$5:$G$283,Plan!$A$5:$A$283,A6))</f>
        <v/>
      </c>
      <c r="J6" s="17">
        <f>IF(_xlfn.MAXIFS(Plan!$H$5:$H$283,Plan!$A$5:$A$283,A6)=0,"",_xlfn.MAXIFS(Plan!$H$5:$H$283,Plan!$A$5:$A$283,A6))</f>
        <v/>
      </c>
    </row>
    <row r="7">
      <c r="A7" s="15" t="n">
        <v>3</v>
      </c>
      <c r="B7" s="15" t="inlineStr">
        <is>
          <t>Checkout &amp; Payments</t>
        </is>
      </c>
      <c r="C7" s="15">
        <f>COUNTIF(Plan!$A$5:$A$283,A7)-COUNTIFS(Plan!$A$5:$A$283,A7,Plan!$F$5:$F$283,"Not needed")</f>
        <v/>
      </c>
      <c r="D7" s="15">
        <f>COUNTIFS(Plan!$A$5:$A$283,$A7,Plan!$F$5:$F$283,"Done")</f>
        <v/>
      </c>
      <c r="E7" s="15">
        <f>COUNTIFS(Plan!$A$5:$A$283,$A7,Plan!$F$5:$F$283,"In progress")</f>
        <v/>
      </c>
      <c r="F7" s="15">
        <f>COUNTIFS(Plan!$A$5:$A$283,$A7,Plan!$F$5:$F$283,"Blocked")</f>
        <v/>
      </c>
      <c r="G7" s="15">
        <f>C7-D7-E7-F7</f>
        <v/>
      </c>
      <c r="H7" s="16">
        <f>IF(C7=0,0,D7/C7)</f>
        <v/>
      </c>
      <c r="I7" s="17">
        <f>IF(_xlfn.MINIFS(Plan!$G$5:$G$283,Plan!$A$5:$A$283,A7)=0,"",_xlfn.MINIFS(Plan!$G$5:$G$283,Plan!$A$5:$A$283,A7))</f>
        <v/>
      </c>
      <c r="J7" s="17">
        <f>IF(_xlfn.MAXIFS(Plan!$H$5:$H$283,Plan!$A$5:$A$283,A7)=0,"",_xlfn.MAXIFS(Plan!$H$5:$H$283,Plan!$A$5:$A$283,A7))</f>
        <v/>
      </c>
    </row>
    <row r="8">
      <c r="A8" s="15" t="n">
        <v>4</v>
      </c>
      <c r="B8" s="15" t="inlineStr">
        <is>
          <t>Orders &amp; Delivery</t>
        </is>
      </c>
      <c r="C8" s="15">
        <f>COUNTIF(Plan!$A$5:$A$283,A8)-COUNTIFS(Plan!$A$5:$A$283,A8,Plan!$F$5:$F$283,"Not needed")</f>
        <v/>
      </c>
      <c r="D8" s="15">
        <f>COUNTIFS(Plan!$A$5:$A$283,$A8,Plan!$F$5:$F$283,"Done")</f>
        <v/>
      </c>
      <c r="E8" s="15">
        <f>COUNTIFS(Plan!$A$5:$A$283,$A8,Plan!$F$5:$F$283,"In progress")</f>
        <v/>
      </c>
      <c r="F8" s="15">
        <f>COUNTIFS(Plan!$A$5:$A$283,$A8,Plan!$F$5:$F$283,"Blocked")</f>
        <v/>
      </c>
      <c r="G8" s="15">
        <f>C8-D8-E8-F8</f>
        <v/>
      </c>
      <c r="H8" s="16">
        <f>IF(C8=0,0,D8/C8)</f>
        <v/>
      </c>
      <c r="I8" s="17">
        <f>IF(_xlfn.MINIFS(Plan!$G$5:$G$283,Plan!$A$5:$A$283,A8)=0,"",_xlfn.MINIFS(Plan!$G$5:$G$283,Plan!$A$5:$A$283,A8))</f>
        <v/>
      </c>
      <c r="J8" s="17">
        <f>IF(_xlfn.MAXIFS(Plan!$H$5:$H$283,Plan!$A$5:$A$283,A8)=0,"",_xlfn.MAXIFS(Plan!$H$5:$H$283,Plan!$A$5:$A$283,A8))</f>
        <v/>
      </c>
    </row>
    <row r="9">
      <c r="A9" s="15" t="n">
        <v>5</v>
      </c>
      <c r="B9" s="15" t="inlineStr">
        <is>
          <t>Money: Payouts, Promotions &amp; Admin</t>
        </is>
      </c>
      <c r="C9" s="15">
        <f>COUNTIF(Plan!$A$5:$A$283,A9)-COUNTIFS(Plan!$A$5:$A$283,A9,Plan!$F$5:$F$283,"Not needed")</f>
        <v/>
      </c>
      <c r="D9" s="15">
        <f>COUNTIFS(Plan!$A$5:$A$283,$A9,Plan!$F$5:$F$283,"Done")</f>
        <v/>
      </c>
      <c r="E9" s="15">
        <f>COUNTIFS(Plan!$A$5:$A$283,$A9,Plan!$F$5:$F$283,"In progress")</f>
        <v/>
      </c>
      <c r="F9" s="15">
        <f>COUNTIFS(Plan!$A$5:$A$283,$A9,Plan!$F$5:$F$283,"Blocked")</f>
        <v/>
      </c>
      <c r="G9" s="15">
        <f>C9-D9-E9-F9</f>
        <v/>
      </c>
      <c r="H9" s="16">
        <f>IF(C9=0,0,D9/C9)</f>
        <v/>
      </c>
      <c r="I9" s="17">
        <f>IF(_xlfn.MINIFS(Plan!$G$5:$G$283,Plan!$A$5:$A$283,A9)=0,"",_xlfn.MINIFS(Plan!$G$5:$G$283,Plan!$A$5:$A$283,A9))</f>
        <v/>
      </c>
      <c r="J9" s="17">
        <f>IF(_xlfn.MAXIFS(Plan!$H$5:$H$283,Plan!$A$5:$A$283,A9)=0,"",_xlfn.MAXIFS(Plan!$H$5:$H$283,Plan!$A$5:$A$283,A9))</f>
        <v/>
      </c>
    </row>
    <row r="10">
      <c r="A10" s="15" t="n">
        <v>6</v>
      </c>
      <c r="B10" s="15" t="inlineStr">
        <is>
          <t>Reviews, Notifications &amp; Trust</t>
        </is>
      </c>
      <c r="C10" s="15">
        <f>COUNTIF(Plan!$A$5:$A$283,A10)-COUNTIFS(Plan!$A$5:$A$283,A10,Plan!$F$5:$F$283,"Not needed")</f>
        <v/>
      </c>
      <c r="D10" s="15">
        <f>COUNTIFS(Plan!$A$5:$A$283,$A10,Plan!$F$5:$F$283,"Done")</f>
        <v/>
      </c>
      <c r="E10" s="15">
        <f>COUNTIFS(Plan!$A$5:$A$283,$A10,Plan!$F$5:$F$283,"In progress")</f>
        <v/>
      </c>
      <c r="F10" s="15">
        <f>COUNTIFS(Plan!$A$5:$A$283,$A10,Plan!$F$5:$F$283,"Blocked")</f>
        <v/>
      </c>
      <c r="G10" s="15">
        <f>C10-D10-E10-F10</f>
        <v/>
      </c>
      <c r="H10" s="16">
        <f>IF(C10=0,0,D10/C10)</f>
        <v/>
      </c>
      <c r="I10" s="17">
        <f>IF(_xlfn.MINIFS(Plan!$G$5:$G$283,Plan!$A$5:$A$283,A10)=0,"",_xlfn.MINIFS(Plan!$G$5:$G$283,Plan!$A$5:$A$283,A10))</f>
        <v/>
      </c>
      <c r="J10" s="17">
        <f>IF(_xlfn.MAXIFS(Plan!$H$5:$H$283,Plan!$A$5:$A$283,A10)=0,"",_xlfn.MAXIFS(Plan!$H$5:$H$283,Plan!$A$5:$A$283,A10))</f>
        <v/>
      </c>
    </row>
    <row r="11">
      <c r="A11" s="15" t="n">
        <v>7</v>
      </c>
      <c r="B11" s="15" t="inlineStr">
        <is>
          <t>Launch</t>
        </is>
      </c>
      <c r="C11" s="15">
        <f>COUNTIF(Plan!$A$5:$A$283,A11)-COUNTIFS(Plan!$A$5:$A$283,A11,Plan!$F$5:$F$283,"Not needed")</f>
        <v/>
      </c>
      <c r="D11" s="15">
        <f>COUNTIFS(Plan!$A$5:$A$283,$A11,Plan!$F$5:$F$283,"Done")</f>
        <v/>
      </c>
      <c r="E11" s="15">
        <f>COUNTIFS(Plan!$A$5:$A$283,$A11,Plan!$F$5:$F$283,"In progress")</f>
        <v/>
      </c>
      <c r="F11" s="15">
        <f>COUNTIFS(Plan!$A$5:$A$283,$A11,Plan!$F$5:$F$283,"Blocked")</f>
        <v/>
      </c>
      <c r="G11" s="15">
        <f>C11-D11-E11-F11</f>
        <v/>
      </c>
      <c r="H11" s="16">
        <f>IF(C11=0,0,D11/C11)</f>
        <v/>
      </c>
      <c r="I11" s="17">
        <f>IF(_xlfn.MINIFS(Plan!$G$5:$G$283,Plan!$A$5:$A$283,A11)=0,"",_xlfn.MINIFS(Plan!$G$5:$G$283,Plan!$A$5:$A$283,A11))</f>
        <v/>
      </c>
      <c r="J11" s="17">
        <f>IF(_xlfn.MAXIFS(Plan!$H$5:$H$283,Plan!$A$5:$A$283,A11)=0,"",_xlfn.MAXIFS(Plan!$H$5:$H$283,Plan!$A$5:$A$283,A11))</f>
        <v/>
      </c>
    </row>
    <row r="12">
      <c r="A12" s="15" t="n">
        <v>8</v>
      </c>
      <c r="B12" s="15" t="inlineStr">
        <is>
          <t>Extra work (added on owner's request)</t>
        </is>
      </c>
      <c r="C12" s="15">
        <f>COUNTIF(Plan!$A$5:$A$283,A12)-COUNTIFS(Plan!$A$5:$A$283,A12,Plan!$F$5:$F$283,"Not needed")</f>
        <v/>
      </c>
      <c r="D12" s="15">
        <f>COUNTIFS(Plan!$A$5:$A$283,$A12,Plan!$F$5:$F$283,"Done")</f>
        <v/>
      </c>
      <c r="E12" s="15">
        <f>COUNTIFS(Plan!$A$5:$A$283,$A12,Plan!$F$5:$F$283,"In progress")</f>
        <v/>
      </c>
      <c r="F12" s="15">
        <f>COUNTIFS(Plan!$A$5:$A$283,$A12,Plan!$F$5:$F$283,"Blocked")</f>
        <v/>
      </c>
      <c r="G12" s="15">
        <f>C12-D12-E12-F12</f>
        <v/>
      </c>
      <c r="H12" s="16">
        <f>IF(C12=0,0,D12/C12)</f>
        <v/>
      </c>
      <c r="I12" s="17">
        <f>IF(_xlfn.MINIFS(Plan!$G$5:$G$283,Plan!$A$5:$A$283,A12)=0,"",_xlfn.MINIFS(Plan!$G$5:$G$283,Plan!$A$5:$A$283,A12))</f>
        <v/>
      </c>
      <c r="J12" s="17">
        <f>IF(_xlfn.MAXIFS(Plan!$H$5:$H$283,Plan!$A$5:$A$283,A12)=0,"",_xlfn.MAXIFS(Plan!$H$5:$H$283,Plan!$A$5:$A$283,A12))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2026-10-23T08:27:46Z</dcterms:created>
  <dcterms:modified xmlns:dcterms="http://purl.org/dc/terms/" xmlns:xsi="http://www.w3.org/2001/XMLSchema-instance" xsi:type="dcterms:W3CDTF">2026-10-23T08:27:46Z</dcterms:modified>
</cp:coreProperties>
</file>