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<sst xmlns="http://schemas.openxmlformats.org/spreadsheetml/2006/main" count="353" uniqueCount="235">
  <si>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</si>
  <si>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</si>
  <si>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</si>
  <si>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</si>
  <si>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</si>
  <si>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</si>
  <si>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</si>
  <si>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</si>
  <si>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</si>
  <si>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</si>
  <si>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</si>
  <si>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</si>
  <si>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</si>
  <si>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</si>
  <si>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</si>
  <si>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</si>
  <si>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</si>
  <si>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</si>
  <si>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</si>
  <si>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</si>
  <si>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</si>
  <si>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</si>
  <si>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</si>
  <si>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</si>
  <si>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</si>
  <si>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</si>
  <si>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</si>
  <si>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</si>
  <si>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</si>
  <si>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</si>
  <si>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</si>
  <si>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</si>
  <si>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</si>
  <si>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</si>
  <si>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</si>
  <si>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</si>
  <si>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</si>
  <si>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</si>
  <si>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</si>
  <si>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</si>
  <si>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</si>
  <si>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</si>
  <si>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</si>
  <si>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</si>
  <si>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</si>
  <si>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</si>
  <si>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</si>
  <si>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</si>
  <si>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</si>
  <si>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</si>
  <si>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</si>
  <si>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</si>
  <si>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</si>
  <si>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</si>
  <si>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</si>
  <si>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</si>
  <si>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</si>
  <si>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</si>
  <si>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</si>
  <si>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</si>
  <si>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</si>
  <si>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</si>
  <si>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</si>
  <si>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</si>
  <si>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</si>
  <si>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</si>
  <si>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</si>
  <si>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</si>
  <si>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</si>
  <si>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</si>
  <si>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</si>
  <si>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</si>
  <si>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</si>
  <si>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</si>
  <si>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</si>
  <si>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</si>
  <si>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</si>
  <si>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</si>
  <si>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</si>
  <si>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</si>
  <si>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</si>
  <si>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</si>
  <si>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</si>
  <si>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</si>
  <si>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</si>
  <si>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</si>
  <si>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</si>
  <si>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</si>
  <si>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</si>
  <si>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</si>
  <si>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</si>
  <si>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</si>
  <si>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</si>
  <si>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</si>
  <si>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</si>
  <si>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</si>
  <si>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</si>
  <si>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</si>
  <si>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</si>
  <si>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Not started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</si>
  <si>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</si>
  <si>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</si>
  <si>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</si>
  <si>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Email/SMS alerts for new messages still to do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</si>
  <si>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</si>
  <si>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</si>
  <si>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</si>
  <si>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</si>
  <si>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3.2</t>
  </si>
  <si>
    <t xml:space="preserve">Checkout flow</t>
  </si>
  <si>
    <t xml:space="preserve">Address → delivery option → payment → review → place order</t>
  </si>
  <si>
    <t xml:space="preserve">3.3</t>
  </si>
  <si>
    <t xml:space="preserve">Cash on delivery</t>
  </si>
  <si>
    <t xml:space="preserve">COD option with order limits</t>
  </si>
  <si>
    <t xml:space="preserve">3.4</t>
  </si>
  <si>
    <t xml:space="preserve">bKash &amp; Nagad</t>
  </si>
  <si>
    <t xml:space="preserve">Mobile wallet payments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</si>
  <si>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</si>
  <si>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</si>
  <si>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</si>
  <si>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</si>
  <si>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</si>
  <si>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</si>
  <si>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</si>
  <si>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</si>
  <si>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</si>
  <si>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</si>
  <si>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</si>
  <si>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</si>
  <si>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</si>
  <si>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</si>
  <si>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</si>
  <si>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4.2</t>
  </si>
  <si>
    <t xml:space="preserve">Seller order management</t>
  </si>
  <si>
    <t xml:space="preserve">Sellers accept, pack, mark shipped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</si>
  <si>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</si>
  <si>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</si>
  <si>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</si>
  <si>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</si>
  <si>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</si>
  <si>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</si>
  <si>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</si>
  <si>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4.5</t>
  </si>
  <si>
    <t xml:space="preserve">Cancellations</t>
  </si>
  <si>
    <t xml:space="preserve">Rules for customer and seller cancellations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</si>
  <si>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</si>
  <si>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</si>
  <si>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</si>
  <si>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</si>
  <si>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</si>
  <si>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</si>
  <si>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</si>
  <si>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</si>
  <si>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</si>
  <si>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</si>
  <si>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</si>
  <si>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</si>
  <si>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</si>
  <si>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</si>
  <si>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</si>
  <si>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</si>
  <si>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</si>
  <si>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</si>
  <si>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</si>
  <si>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</si>
  <si>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</si>
  <si>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</si>
  <si>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</si>
  <si>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</si>
  <si>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</si>
  <si>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</si>
  <si>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</si>
  <si>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22 Oct: simple version: admin presses 'Payment received: start' in Featured &amp; ads. TrxID entry by seller still to do; used for order payments too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</si>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</sst>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1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99</v>
      </c>
      <c r="G25" s="8"/>
      <c r="H25" s="8"/>
      <c r="I25" s="9" t="str">
        <f aca="false">IF(AND(G25&lt;&gt;"",H25&lt;&gt;""),H25-G25+1,"")</f>
        <v/>
      </c>
      <c r="J25" s="10"/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28</v>
      </c>
      <c r="G26" s="8" t="n">
        <v>46317</v>
      </c>
      <c r="H26" s="8"/>
      <c r="I26" s="9" t="str">
        <f aca="false">IF(AND(G26&lt;&gt;"",H26&lt;&gt;""),H26-G26+1,"")</f>
        <v/>
      </c>
      <c r="J26" s="10" t="s">
        <v>103</v>
      </c>
    </row>
    <row r="27" customFormat="false" ht="15" hidden="false" customHeight="false" outlineLevel="0" collapsed="false">
      <c r="A27" s="11" t="n">
        <v>3</v>
      </c>
      <c r="B27" s="12" t="s">
        <v>104</v>
      </c>
      <c r="C27" s="13" t="s">
        <v>105</v>
      </c>
      <c r="D27" s="12" t="s">
        <v>106</v>
      </c>
      <c r="E27" s="12" t="s">
        <v>107</v>
      </c>
      <c r="F27" s="7" t="s">
        <v>99</v>
      </c>
      <c r="G27" s="8"/>
      <c r="H27" s="8"/>
      <c r="I27" s="14" t="str">
        <f aca="false">IF(AND(G27&lt;&gt;"",H27&lt;&gt;""),H27-G27+1,"")</f>
        <v/>
      </c>
      <c r="J27" s="10"/>
    </row>
    <row r="28" customFormat="false" ht="15" hidden="false" customHeight="false" outlineLevel="0" collapsed="false">
      <c r="A28" s="11" t="n">
        <v>3</v>
      </c>
      <c r="B28" s="12" t="s">
        <v>104</v>
      </c>
      <c r="C28" s="13" t="s">
        <v>108</v>
      </c>
      <c r="D28" s="12" t="s">
        <v>109</v>
      </c>
      <c r="E28" s="12" t="s">
        <v>110</v>
      </c>
      <c r="F28" s="7" t="s">
        <v>99</v>
      </c>
      <c r="G28" s="8"/>
      <c r="H28" s="8"/>
      <c r="I28" s="14" t="str">
        <f aca="false">IF(AND(G28&lt;&gt;"",H28&lt;&gt;""),H28-G28+1,"")</f>
        <v/>
      </c>
      <c r="J28" s="10"/>
    </row>
    <row r="29" customFormat="false" ht="15" hidden="false" customHeight="false" outlineLevel="0" collapsed="false">
      <c r="A29" s="11" t="n">
        <v>3</v>
      </c>
      <c r="B29" s="12" t="s">
        <v>104</v>
      </c>
      <c r="C29" s="13" t="s">
        <v>111</v>
      </c>
      <c r="D29" s="12" t="s">
        <v>112</v>
      </c>
      <c r="E29" s="12" t="s">
        <v>113</v>
      </c>
      <c r="F29" s="7" t="s">
        <v>99</v>
      </c>
      <c r="G29" s="8"/>
      <c r="H29" s="8"/>
      <c r="I29" s="14" t="str">
        <f aca="false">IF(AND(G29&lt;&gt;"",H29&lt;&gt;""),H29-G29+1,"")</f>
        <v/>
      </c>
      <c r="J29" s="10"/>
    </row>
    <row r="30" customFormat="false" ht="15" hidden="false" customHeight="false" outlineLevel="0" collapsed="false">
      <c r="A30" s="11" t="n">
        <v>3</v>
      </c>
      <c r="B30" s="12" t="s">
        <v>104</v>
      </c>
      <c r="C30" s="13" t="s">
        <v>114</v>
      </c>
      <c r="D30" s="12" t="s">
        <v>115</v>
      </c>
      <c r="E30" s="12" t="s">
        <v>116</v>
      </c>
      <c r="F30" s="7" t="s">
        <v>99</v>
      </c>
      <c r="G30" s="8"/>
      <c r="H30" s="8"/>
      <c r="I30" s="14" t="str">
        <f aca="false">IF(AND(G30&lt;&gt;"",H30&lt;&gt;""),H30-G30+1,"")</f>
        <v/>
      </c>
      <c r="J30" s="10" t="s">
        <v>117</v>
      </c>
    </row>
    <row r="31" customFormat="false" ht="15" hidden="false" customHeight="false" outlineLevel="0" collapsed="false">
      <c r="A31" s="11" t="n">
        <v>3</v>
      </c>
      <c r="B31" s="12" t="s">
        <v>104</v>
      </c>
      <c r="C31" s="13" t="s">
        <v>118</v>
      </c>
      <c r="D31" s="12" t="s">
        <v>119</v>
      </c>
      <c r="E31" s="12" t="s">
        <v>120</v>
      </c>
      <c r="F31" s="7" t="s">
        <v>99</v>
      </c>
      <c r="G31" s="8"/>
      <c r="H31" s="8"/>
      <c r="I31" s="14" t="str">
        <f aca="false">IF(AND(G31&lt;&gt;"",H31&lt;&gt;""),H31-G31+1,"")</f>
        <v/>
      </c>
      <c r="J31" s="10" t="s">
        <v>121</v>
      </c>
    </row>
    <row r="32" customFormat="false" ht="15" hidden="false" customHeight="false" outlineLevel="0" collapsed="false">
      <c r="A32" s="11" t="n">
        <v>3</v>
      </c>
      <c r="B32" s="12" t="s">
        <v>104</v>
      </c>
      <c r="C32" s="13" t="s">
        <v>122</v>
      </c>
      <c r="D32" s="12" t="s">
        <v>123</v>
      </c>
      <c r="E32" s="12" t="s">
        <v>124</v>
      </c>
      <c r="F32" s="7" t="s">
        <v>99</v>
      </c>
      <c r="G32" s="8"/>
      <c r="H32" s="8"/>
      <c r="I32" s="14" t="str">
        <f aca="false">IF(AND(G32&lt;&gt;"",H32&lt;&gt;""),H32-G32+1,"")</f>
        <v/>
      </c>
      <c r="J32" s="10"/>
    </row>
    <row r="33" customFormat="false" ht="15" hidden="false" customHeight="false" outlineLevel="0" collapsed="false">
      <c r="A33" s="11" t="n">
        <v>3</v>
      </c>
      <c r="B33" s="12" t="s">
        <v>104</v>
      </c>
      <c r="C33" s="13" t="s">
        <v>125</v>
      </c>
      <c r="D33" s="12" t="s">
        <v>126</v>
      </c>
      <c r="E33" s="12" t="s">
        <v>127</v>
      </c>
      <c r="F33" s="7" t="s">
        <v>99</v>
      </c>
      <c r="G33" s="8"/>
      <c r="H33" s="8"/>
      <c r="I33" s="14" t="str">
        <f aca="false">IF(AND(G33&lt;&gt;"",H33&lt;&gt;""),H33-G33+1,"")</f>
        <v/>
      </c>
      <c r="J33" s="10"/>
    </row>
    <row r="34" customFormat="false" ht="15" hidden="false" customHeight="false" outlineLevel="0" collapsed="false">
      <c r="A34" s="4" t="n">
        <v>4</v>
      </c>
      <c r="B34" s="5" t="s">
        <v>128</v>
      </c>
      <c r="C34" s="6" t="s">
        <v>129</v>
      </c>
      <c r="D34" s="5" t="s">
        <v>130</v>
      </c>
      <c r="E34" s="5" t="s">
        <v>131</v>
      </c>
      <c r="F34" s="7" t="s">
        <v>99</v>
      </c>
      <c r="G34" s="8"/>
      <c r="H34" s="8"/>
      <c r="I34" s="9" t="str">
        <f aca="false">IF(AND(G34&lt;&gt;"",H34&lt;&gt;""),H34-G34+1,"")</f>
        <v/>
      </c>
      <c r="J34" s="10"/>
    </row>
    <row r="35" customFormat="false" ht="15" hidden="false" customHeight="false" outlineLevel="0" collapsed="false">
      <c r="A35" s="4" t="n">
        <v>4</v>
      </c>
      <c r="B35" s="5" t="s">
        <v>128</v>
      </c>
      <c r="C35" s="6" t="s">
        <v>132</v>
      </c>
      <c r="D35" s="5" t="s">
        <v>133</v>
      </c>
      <c r="E35" s="5" t="s">
        <v>134</v>
      </c>
      <c r="F35" s="7" t="s">
        <v>99</v>
      </c>
      <c r="G35" s="8"/>
      <c r="H35" s="8"/>
      <c r="I35" s="9" t="str">
        <f aca="false">IF(AND(G35&lt;&gt;"",H35&lt;&gt;""),H35-G35+1,"")</f>
        <v/>
      </c>
      <c r="J35" s="10"/>
    </row>
    <row r="36" customFormat="false" ht="15" hidden="false" customHeight="false" outlineLevel="0" collapsed="false">
      <c r="A36" s="4" t="n">
        <v>4</v>
      </c>
      <c r="B36" s="5" t="s">
        <v>128</v>
      </c>
      <c r="C36" s="6" t="s">
        <v>135</v>
      </c>
      <c r="D36" s="5" t="s">
        <v>136</v>
      </c>
      <c r="E36" s="5" t="s">
        <v>137</v>
      </c>
      <c r="F36" s="7" t="s">
        <v>99</v>
      </c>
      <c r="G36" s="8"/>
      <c r="H36" s="8"/>
      <c r="I36" s="9" t="str">
        <f aca="false">IF(AND(G36&lt;&gt;"",H36&lt;&gt;""),H36-G36+1,"")</f>
        <v/>
      </c>
      <c r="J36" s="10" t="s">
        <v>138</v>
      </c>
    </row>
    <row r="37" customFormat="false" ht="15" hidden="false" customHeight="false" outlineLevel="0" collapsed="false">
      <c r="A37" s="4" t="n">
        <v>4</v>
      </c>
      <c r="B37" s="5" t="s">
        <v>128</v>
      </c>
      <c r="C37" s="6" t="s">
        <v>139</v>
      </c>
      <c r="D37" s="5" t="s">
        <v>140</v>
      </c>
      <c r="E37" s="5" t="s">
        <v>141</v>
      </c>
      <c r="F37" s="7" t="s">
        <v>99</v>
      </c>
      <c r="G37" s="8"/>
      <c r="H37" s="8"/>
      <c r="I37" s="9" t="str">
        <f aca="false">IF(AND(G37&lt;&gt;"",H37&lt;&gt;""),H37-G37+1,"")</f>
        <v/>
      </c>
      <c r="J37" s="10"/>
    </row>
    <row r="38" customFormat="false" ht="15" hidden="false" customHeight="false" outlineLevel="0" collapsed="false">
      <c r="A38" s="4" t="n">
        <v>4</v>
      </c>
      <c r="B38" s="5" t="s">
        <v>128</v>
      </c>
      <c r="C38" s="6" t="s">
        <v>142</v>
      </c>
      <c r="D38" s="5" t="s">
        <v>143</v>
      </c>
      <c r="E38" s="5" t="s">
        <v>144</v>
      </c>
      <c r="F38" s="7" t="s">
        <v>99</v>
      </c>
      <c r="G38" s="8"/>
      <c r="H38" s="8"/>
      <c r="I38" s="9" t="str">
        <f aca="false">IF(AND(G38&lt;&gt;"",H38&lt;&gt;""),H38-G38+1,"")</f>
        <v/>
      </c>
      <c r="J38" s="10"/>
    </row>
    <row r="39" customFormat="false" ht="15" hidden="false" customHeight="false" outlineLevel="0" collapsed="false">
      <c r="A39" s="4" t="n">
        <v>4</v>
      </c>
      <c r="B39" s="5" t="s">
        <v>128</v>
      </c>
      <c r="C39" s="6" t="s">
        <v>145</v>
      </c>
      <c r="D39" s="5" t="s">
        <v>146</v>
      </c>
      <c r="E39" s="5" t="s">
        <v>147</v>
      </c>
      <c r="F39" s="7" t="s">
        <v>99</v>
      </c>
      <c r="G39" s="8"/>
      <c r="H39" s="8"/>
      <c r="I39" s="9" t="str">
        <f aca="false">IF(AND(G39&lt;&gt;"",H39&lt;&gt;""),H39-G39+1,"")</f>
        <v/>
      </c>
      <c r="J39" s="10"/>
    </row>
    <row r="40" customFormat="false" ht="23.85" hidden="false" customHeight="false" outlineLevel="0" collapsed="false">
      <c r="A40" s="11" t="n">
        <v>5</v>
      </c>
      <c r="B40" s="12" t="s">
        <v>148</v>
      </c>
      <c r="C40" s="13" t="s">
        <v>149</v>
      </c>
      <c r="D40" s="12" t="s">
        <v>150</v>
      </c>
      <c r="E40" s="12" t="s">
        <v>151</v>
      </c>
      <c r="F40" s="7" t="s">
        <v>99</v>
      </c>
      <c r="G40" s="8"/>
      <c r="H40" s="8"/>
      <c r="I40" s="14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148</v>
      </c>
      <c r="C41" s="13" t="s">
        <v>152</v>
      </c>
      <c r="D41" s="12" t="s">
        <v>153</v>
      </c>
      <c r="E41" s="12" t="s">
        <v>154</v>
      </c>
      <c r="F41" s="7" t="s">
        <v>99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148</v>
      </c>
      <c r="C42" s="13" t="s">
        <v>155</v>
      </c>
      <c r="D42" s="12" t="s">
        <v>156</v>
      </c>
      <c r="E42" s="12" t="s">
        <v>157</v>
      </c>
      <c r="F42" s="7" t="s">
        <v>99</v>
      </c>
      <c r="G42" s="8"/>
      <c r="H42" s="8"/>
      <c r="I42" s="14" t="str">
        <f aca="false">IF(AND(G42&lt;&gt;"",H42&lt;&gt;""),H42-G42+1,"")</f>
        <v/>
      </c>
      <c r="J42" s="10"/>
    </row>
    <row r="43" customFormat="false" ht="35.05" hidden="false" customHeight="false" outlineLevel="0" collapsed="false">
      <c r="A43" s="11" t="n">
        <v>5</v>
      </c>
      <c r="B43" s="12" t="s">
        <v>148</v>
      </c>
      <c r="C43" s="13" t="s">
        <v>158</v>
      </c>
      <c r="D43" s="12" t="s">
        <v>159</v>
      </c>
      <c r="E43" s="12" t="s">
        <v>160</v>
      </c>
      <c r="F43" s="7" t="s">
        <v>28</v>
      </c>
      <c r="G43" s="8" t="n">
        <v>46317</v>
      </c>
      <c r="H43" s="8"/>
      <c r="I43" s="14" t="str">
        <f aca="false">IF(AND(G43&lt;&gt;"",H43&lt;&gt;""),H43-G43+1,"")</f>
        <v/>
      </c>
      <c r="J43" s="10" t="s">
        <v>161</v>
      </c>
    </row>
    <row r="44" customFormat="false" ht="35.05" hidden="false" customHeight="false" outlineLevel="0" collapsed="false">
      <c r="A44" s="11" t="n">
        <v>5</v>
      </c>
      <c r="B44" s="12" t="s">
        <v>148</v>
      </c>
      <c r="C44" s="13" t="s">
        <v>162</v>
      </c>
      <c r="D44" s="12" t="s">
        <v>163</v>
      </c>
      <c r="E44" s="12" t="s">
        <v>164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165</v>
      </c>
    </row>
    <row r="45" customFormat="false" ht="23.85" hidden="false" customHeight="false" outlineLevel="0" collapsed="false">
      <c r="A45" s="11" t="n">
        <v>5</v>
      </c>
      <c r="B45" s="12" t="s">
        <v>148</v>
      </c>
      <c r="C45" s="13" t="s">
        <v>166</v>
      </c>
      <c r="D45" s="12" t="s">
        <v>167</v>
      </c>
      <c r="E45" s="12" t="s">
        <v>168</v>
      </c>
      <c r="F45" s="7" t="s">
        <v>99</v>
      </c>
      <c r="G45" s="8"/>
      <c r="H45" s="8"/>
      <c r="I45" s="14" t="str">
        <f aca="false">IF(AND(G45&lt;&gt;"",H45&lt;&gt;""),H45-G45+1,"")</f>
        <v/>
      </c>
      <c r="J45" s="10"/>
    </row>
    <row r="46" customFormat="false" ht="35.05" hidden="false" customHeight="false" outlineLevel="0" collapsed="false">
      <c r="A46" s="11" t="n">
        <v>5</v>
      </c>
      <c r="B46" s="12" t="s">
        <v>148</v>
      </c>
      <c r="C46" s="13" t="s">
        <v>169</v>
      </c>
      <c r="D46" s="12" t="s">
        <v>170</v>
      </c>
      <c r="E46" s="12" t="s">
        <v>171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172</v>
      </c>
    </row>
    <row r="47" customFormat="false" ht="23.85" hidden="false" customHeight="false" outlineLevel="0" collapsed="false">
      <c r="A47" s="11" t="n">
        <v>5</v>
      </c>
      <c r="B47" s="12" t="s">
        <v>148</v>
      </c>
      <c r="C47" s="13" t="s">
        <v>173</v>
      </c>
      <c r="D47" s="12" t="s">
        <v>174</v>
      </c>
      <c r="E47" s="12" t="s">
        <v>175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176</v>
      </c>
    </row>
    <row r="48" customFormat="false" ht="35.05" hidden="false" customHeight="false" outlineLevel="0" collapsed="false">
      <c r="A48" s="11" t="n">
        <v>5</v>
      </c>
      <c r="B48" s="12" t="s">
        <v>148</v>
      </c>
      <c r="C48" s="13" t="s">
        <v>177</v>
      </c>
      <c r="D48" s="12" t="s">
        <v>178</v>
      </c>
      <c r="E48" s="12" t="s">
        <v>179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180</v>
      </c>
    </row>
    <row r="49" customFormat="false" ht="46.25" hidden="false" customHeight="false" outlineLevel="0" collapsed="false">
      <c r="A49" s="11" t="n">
        <v>5</v>
      </c>
      <c r="B49" s="12" t="s">
        <v>148</v>
      </c>
      <c r="C49" s="13" t="s">
        <v>181</v>
      </c>
      <c r="D49" s="12" t="s">
        <v>182</v>
      </c>
      <c r="E49" s="12" t="s">
        <v>183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184</v>
      </c>
    </row>
    <row r="50" customFormat="false" ht="23.85" hidden="false" customHeight="false" outlineLevel="0" collapsed="false">
      <c r="A50" s="11" t="n">
        <v>5</v>
      </c>
      <c r="B50" s="12" t="s">
        <v>148</v>
      </c>
      <c r="C50" s="13" t="s">
        <v>185</v>
      </c>
      <c r="D50" s="12" t="s">
        <v>186</v>
      </c>
      <c r="E50" s="12" t="s">
        <v>187</v>
      </c>
      <c r="F50" s="7" t="s">
        <v>99</v>
      </c>
      <c r="G50" s="8"/>
      <c r="H50" s="8"/>
      <c r="I50" s="14" t="str">
        <f aca="false">IF(AND(G50&lt;&gt;"",H50&lt;&gt;""),H50-G50+1,"")</f>
        <v/>
      </c>
      <c r="J50" s="10"/>
    </row>
    <row r="51" customFormat="false" ht="15" hidden="false" customHeight="false" outlineLevel="0" collapsed="false">
      <c r="A51" s="4" t="n">
        <v>6</v>
      </c>
      <c r="B51" s="5" t="s">
        <v>188</v>
      </c>
      <c r="C51" s="6" t="s">
        <v>189</v>
      </c>
      <c r="D51" s="5" t="s">
        <v>190</v>
      </c>
      <c r="E51" s="5" t="s">
        <v>191</v>
      </c>
      <c r="F51" s="7" t="s">
        <v>99</v>
      </c>
      <c r="G51" s="8"/>
      <c r="H51" s="8"/>
      <c r="I51" s="9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188</v>
      </c>
      <c r="C52" s="6" t="s">
        <v>192</v>
      </c>
      <c r="D52" s="5" t="s">
        <v>193</v>
      </c>
      <c r="E52" s="5" t="s">
        <v>194</v>
      </c>
      <c r="F52" s="7" t="s">
        <v>99</v>
      </c>
      <c r="G52" s="8"/>
      <c r="H52" s="8"/>
      <c r="I52" s="9" t="str">
        <f aca="false">IF(AND(G52&lt;&gt;"",H52&lt;&gt;""),H52-G52+1,"")</f>
        <v/>
      </c>
      <c r="J52" s="10"/>
    </row>
    <row r="53" customFormat="false" ht="15" hidden="false" customHeight="false" outlineLevel="0" collapsed="false">
      <c r="A53" s="4" t="n">
        <v>6</v>
      </c>
      <c r="B53" s="5" t="s">
        <v>188</v>
      </c>
      <c r="C53" s="6" t="s">
        <v>195</v>
      </c>
      <c r="D53" s="5" t="s">
        <v>196</v>
      </c>
      <c r="E53" s="5" t="s">
        <v>197</v>
      </c>
      <c r="F53" s="7" t="s">
        <v>99</v>
      </c>
      <c r="G53" s="8"/>
      <c r="H53" s="8"/>
      <c r="I53" s="9" t="str">
        <f aca="false">IF(AND(G53&lt;&gt;"",H53&lt;&gt;""),H53-G53+1,"")</f>
        <v/>
      </c>
      <c r="J53" s="10"/>
    </row>
    <row r="54" customFormat="false" ht="15" hidden="false" customHeight="false" outlineLevel="0" collapsed="false">
      <c r="A54" s="4" t="n">
        <v>6</v>
      </c>
      <c r="B54" s="5" t="s">
        <v>188</v>
      </c>
      <c r="C54" s="6" t="s">
        <v>198</v>
      </c>
      <c r="D54" s="5" t="s">
        <v>199</v>
      </c>
      <c r="E54" s="5" t="s">
        <v>200</v>
      </c>
      <c r="F54" s="7" t="s">
        <v>99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188</v>
      </c>
      <c r="C55" s="6" t="s">
        <v>201</v>
      </c>
      <c r="D55" s="5" t="s">
        <v>202</v>
      </c>
      <c r="E55" s="5" t="s">
        <v>203</v>
      </c>
      <c r="F55" s="7" t="s">
        <v>99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11" t="n">
        <v>7</v>
      </c>
      <c r="B56" s="12" t="s">
        <v>204</v>
      </c>
      <c r="C56" s="13" t="s">
        <v>205</v>
      </c>
      <c r="D56" s="12" t="s">
        <v>206</v>
      </c>
      <c r="E56" s="12" t="s">
        <v>207</v>
      </c>
      <c r="F56" s="7" t="s">
        <v>99</v>
      </c>
      <c r="G56" s="8"/>
      <c r="H56" s="8"/>
      <c r="I56" s="14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204</v>
      </c>
      <c r="C57" s="13" t="s">
        <v>208</v>
      </c>
      <c r="D57" s="12" t="s">
        <v>209</v>
      </c>
      <c r="E57" s="12" t="s">
        <v>210</v>
      </c>
      <c r="F57" s="7" t="s">
        <v>99</v>
      </c>
      <c r="G57" s="8"/>
      <c r="H57" s="8"/>
      <c r="I57" s="14" t="str">
        <f aca="false">IF(AND(G57&lt;&gt;"",H57&lt;&gt;""),H57-G57+1,"")</f>
        <v/>
      </c>
      <c r="J57" s="10" t="s">
        <v>211</v>
      </c>
    </row>
    <row r="58" customFormat="false" ht="15" hidden="false" customHeight="false" outlineLevel="0" collapsed="false">
      <c r="A58" s="11" t="n">
        <v>7</v>
      </c>
      <c r="B58" s="12" t="s">
        <v>204</v>
      </c>
      <c r="C58" s="13" t="s">
        <v>212</v>
      </c>
      <c r="D58" s="12" t="s">
        <v>213</v>
      </c>
      <c r="E58" s="12" t="s">
        <v>214</v>
      </c>
      <c r="F58" s="7" t="s">
        <v>99</v>
      </c>
      <c r="G58" s="8"/>
      <c r="H58" s="8"/>
      <c r="I58" s="14" t="str">
        <f aca="false">IF(AND(G58&lt;&gt;"",H58&lt;&gt;""),H58-G58+1,"")</f>
        <v/>
      </c>
      <c r="J58" s="10"/>
    </row>
    <row r="59" customFormat="false" ht="15" hidden="false" customHeight="false" outlineLevel="0" collapsed="false">
      <c r="A59" s="11" t="n">
        <v>7</v>
      </c>
      <c r="B59" s="12" t="s">
        <v>204</v>
      </c>
      <c r="C59" s="13" t="s">
        <v>215</v>
      </c>
      <c r="D59" s="12" t="s">
        <v>216</v>
      </c>
      <c r="E59" s="12" t="s">
        <v>217</v>
      </c>
      <c r="F59" s="7" t="s">
        <v>99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204</v>
      </c>
      <c r="C60" s="13" t="s">
        <v>218</v>
      </c>
      <c r="D60" s="12" t="s">
        <v>219</v>
      </c>
      <c r="E60" s="12" t="s">
        <v>220</v>
      </c>
      <c r="F60" s="7" t="s">
        <v>99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204</v>
      </c>
      <c r="C61" s="13" t="s">
        <v>221</v>
      </c>
      <c r="D61" s="12" t="s">
        <v>222</v>
      </c>
      <c r="E61" s="12" t="s">
        <v>223</v>
      </c>
      <c r="F61" s="7" t="s">
        <v>99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204</v>
      </c>
      <c r="C62" s="13" t="s">
        <v>224</v>
      </c>
      <c r="D62" s="12" t="s">
        <v>225</v>
      </c>
      <c r="E62" s="12" t="s">
        <v>226</v>
      </c>
      <c r="F62" s="7" t="s">
        <v>99</v>
      </c>
      <c r="G62" s="8"/>
      <c r="H62" s="8"/>
      <c r="I62" s="14" t="str">
        <f aca="false">IF(AND(G62&lt;&gt;"",H62&lt;&gt;""),H62-G62+1,"")</f>
        <v/>
      </c>
      <c r="J62" s="10"/>
    </row>
  </sheetData>
  <autoFilter ref="A4:J62"/>
  <mergeCells count="1">
    <mergeCell ref="A2:J2"/>
  </mergeCells>
  <conditionalFormatting sqref="F5:F262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227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228</v>
      </c>
      <c r="D3" s="3" t="s">
        <v>16</v>
      </c>
      <c r="E3" s="3" t="s">
        <v>28</v>
      </c>
      <c r="F3" s="3" t="s">
        <v>229</v>
      </c>
      <c r="G3" s="3" t="s">
        <v>99</v>
      </c>
      <c r="H3" s="3" t="s">
        <v>230</v>
      </c>
      <c r="I3" s="3" t="s">
        <v>231</v>
      </c>
      <c r="J3" s="3" t="s">
        <v>232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COUNTIF(Plan!$A$5:$A$262,A4)</f>
        <v>7</v>
      </c>
      <c r="D4" s="15" t="n">
        <f aca="false">COUNTIFS(Plan!$A$5:$A$262,$A4,Plan!$F$5:$F$262,"Done")</f>
        <v>6</v>
      </c>
      <c r="E4" s="15" t="n">
        <f aca="false">COUNTIFS(Plan!$A$5:$A$262,$A4,Plan!$F$5:$F$262,"In progress")</f>
        <v>1</v>
      </c>
      <c r="F4" s="15" t="n">
        <f aca="false">COUNTIFS(Plan!$A$5:$A$262,$A4,Plan!$F$5:$F$262,"Blocked")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IF(_xlfn.MINIFS(Plan!$G$5:$G$262,Plan!$A$5:$A$262,A4)=0,"",_xlfn.MINIFS(Plan!$G$5:$G$262,Plan!$A$5:$A$262,A4))</f>
        <v>46317</v>
      </c>
      <c r="J4" s="17" t="n">
        <f aca="false">IF(_xlfn.MAXIFS(Plan!$H$5:$H$262,Plan!$A$5:$A$262,A4)=0,"",_xlfn.MAXIFS(Plan!$H$5:$H$262,Plan!$A$5:$A$262,A4))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COUNTIF(Plan!$A$5:$A$262,A5)</f>
        <v>8</v>
      </c>
      <c r="D5" s="15" t="n">
        <f aca="false">COUNTIFS(Plan!$A$5:$A$262,$A5,Plan!$F$5:$F$262,"Done")</f>
        <v>7</v>
      </c>
      <c r="E5" s="15" t="n">
        <f aca="false">COUNTIFS(Plan!$A$5:$A$262,$A5,Plan!$F$5:$F$262,"In progress")</f>
        <v>1</v>
      </c>
      <c r="F5" s="15" t="n">
        <f aca="false">COUNTIFS(Plan!$A$5:$A$262,$A5,Plan!$F$5:$F$262,"Blocked")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IF(_xlfn.MINIFS(Plan!$G$5:$G$262,Plan!$A$5:$A$262,A5)=0,"",_xlfn.MINIFS(Plan!$G$5:$G$262,Plan!$A$5:$A$262,A5))</f>
        <v>46317</v>
      </c>
      <c r="J5" s="17" t="n">
        <f aca="false">IF(_xlfn.MAXIFS(Plan!$H$5:$H$262,Plan!$A$5:$A$262,A5)=0,"",_xlfn.MAXIFS(Plan!$H$5:$H$262,Plan!$A$5:$A$262,A5))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COUNTIF(Plan!$A$5:$A$262,A6)</f>
        <v>7</v>
      </c>
      <c r="D6" s="15" t="n">
        <f aca="false">COUNTIFS(Plan!$A$5:$A$262,$A6,Plan!$F$5:$F$262,"Done")</f>
        <v>0</v>
      </c>
      <c r="E6" s="15" t="n">
        <f aca="false">COUNTIFS(Plan!$A$5:$A$262,$A6,Plan!$F$5:$F$262,"In progress")</f>
        <v>6</v>
      </c>
      <c r="F6" s="15" t="n">
        <f aca="false">COUNTIFS(Plan!$A$5:$A$262,$A6,Plan!$F$5:$F$262,"Blocked")</f>
        <v>0</v>
      </c>
      <c r="G6" s="15" t="n">
        <f aca="false">C6-D6-E6-F6</f>
        <v>1</v>
      </c>
      <c r="H6" s="16" t="n">
        <f aca="false">IF(C6=0,0,D6/C6)</f>
        <v>0</v>
      </c>
      <c r="I6" s="17" t="n">
        <f aca="false">IF(_xlfn.MINIFS(Plan!$G$5:$G$262,Plan!$A$5:$A$262,A6)=0,"",_xlfn.MINIFS(Plan!$G$5:$G$262,Plan!$A$5:$A$262,A6))</f>
        <v>46317</v>
      </c>
      <c r="J6" s="17" t="str">
        <f aca="false">IF(_xlfn.MAXIFS(Plan!$H$5:$H$262,Plan!$A$5:$A$262,A6)=0,"",_xlfn.MAXIFS(Plan!$H$5:$H$262,Plan!$A$5:$A$262,A6))</f>
        <v/>
      </c>
    </row>
    <row r="7" customFormat="false" ht="15" hidden="false" customHeight="false" outlineLevel="0" collapsed="false">
      <c r="A7" s="15" t="n">
        <v>3</v>
      </c>
      <c r="B7" s="15" t="s">
        <v>104</v>
      </c>
      <c r="C7" s="15" t="n">
        <f aca="false">COUNTIF(Plan!$A$5:$A$262,A7)</f>
        <v>7</v>
      </c>
      <c r="D7" s="15" t="n">
        <f aca="false">COUNTIFS(Plan!$A$5:$A$262,$A7,Plan!$F$5:$F$262,"Done")</f>
        <v>0</v>
      </c>
      <c r="E7" s="15" t="n">
        <f aca="false">COUNTIFS(Plan!$A$5:$A$262,$A7,Plan!$F$5:$F$262,"In progress")</f>
        <v>0</v>
      </c>
      <c r="F7" s="15" t="n">
        <f aca="false">COUNTIFS(Plan!$A$5:$A$262,$A7,Plan!$F$5:$F$262,"Blocked")</f>
        <v>0</v>
      </c>
      <c r="G7" s="15" t="n">
        <f aca="false">C7-D7-E7-F7</f>
        <v>7</v>
      </c>
      <c r="H7" s="16" t="n">
        <f aca="false">IF(C7=0,0,D7/C7)</f>
        <v>0</v>
      </c>
      <c r="I7" s="17" t="str">
        <f aca="false">IF(_xlfn.MINIFS(Plan!$G$5:$G$262,Plan!$A$5:$A$262,A7)=0,"",_xlfn.MINIFS(Plan!$G$5:$G$262,Plan!$A$5:$A$262,A7))</f>
        <v/>
      </c>
      <c r="J7" s="17" t="str">
        <f aca="false">IF(_xlfn.MAXIFS(Plan!$H$5:$H$262,Plan!$A$5:$A$262,A7)=0,"",_xlfn.MAXIFS(Plan!$H$5:$H$262,Plan!$A$5:$A$262,A7))</f>
        <v/>
      </c>
    </row>
    <row r="8" customFormat="false" ht="15" hidden="false" customHeight="false" outlineLevel="0" collapsed="false">
      <c r="A8" s="15" t="n">
        <v>4</v>
      </c>
      <c r="B8" s="15" t="s">
        <v>128</v>
      </c>
      <c r="C8" s="15" t="n">
        <f aca="false">COUNTIF(Plan!$A$5:$A$262,A8)</f>
        <v>6</v>
      </c>
      <c r="D8" s="15" t="n">
        <f aca="false">COUNTIFS(Plan!$A$5:$A$262,$A8,Plan!$F$5:$F$262,"Done")</f>
        <v>0</v>
      </c>
      <c r="E8" s="15" t="n">
        <f aca="false">COUNTIFS(Plan!$A$5:$A$262,$A8,Plan!$F$5:$F$262,"In progress")</f>
        <v>0</v>
      </c>
      <c r="F8" s="15" t="n">
        <f aca="false">COUNTIFS(Plan!$A$5:$A$262,$A8,Plan!$F$5:$F$262,"Blocked")</f>
        <v>0</v>
      </c>
      <c r="G8" s="15" t="n">
        <f aca="false">C8-D8-E8-F8</f>
        <v>6</v>
      </c>
      <c r="H8" s="16" t="n">
        <f aca="false">IF(C8=0,0,D8/C8)</f>
        <v>0</v>
      </c>
      <c r="I8" s="17" t="str">
        <f aca="false">IF(_xlfn.MINIFS(Plan!$G$5:$G$262,Plan!$A$5:$A$262,A8)=0,"",_xlfn.MINIFS(Plan!$G$5:$G$262,Plan!$A$5:$A$262,A8))</f>
        <v/>
      </c>
      <c r="J8" s="17" t="str">
        <f aca="false">IF(_xlfn.MAXIFS(Plan!$H$5:$H$262,Plan!$A$5:$A$262,A8)=0,"",_xlfn.MAXIFS(Plan!$H$5:$H$262,Plan!$A$5:$A$262,A8))</f>
        <v/>
      </c>
    </row>
    <row r="9" customFormat="false" ht="15" hidden="false" customHeight="false" outlineLevel="0" collapsed="false">
      <c r="A9" s="15" t="n">
        <v>5</v>
      </c>
      <c r="B9" s="15" t="s">
        <v>148</v>
      </c>
      <c r="C9" s="15" t="n">
        <f aca="false">COUNTIF(Plan!$A$5:$A$262,A9)</f>
        <v>11</v>
      </c>
      <c r="D9" s="15" t="n">
        <f aca="false">COUNTIFS(Plan!$A$5:$A$262,$A9,Plan!$F$5:$F$262,"Done")</f>
        <v>0</v>
      </c>
      <c r="E9" s="15" t="n">
        <f aca="false">COUNTIFS(Plan!$A$5:$A$262,$A9,Plan!$F$5:$F$262,"In progress")</f>
        <v>6</v>
      </c>
      <c r="F9" s="15" t="n">
        <f aca="false">COUNTIFS(Plan!$A$5:$A$262,$A9,Plan!$F$5:$F$262,"Blocked")</f>
        <v>0</v>
      </c>
      <c r="G9" s="15" t="n">
        <f aca="false">C9-D9-E9-F9</f>
        <v>5</v>
      </c>
      <c r="H9" s="16" t="n">
        <f aca="false">IF(C9=0,0,D9/C9)</f>
        <v>0</v>
      </c>
      <c r="I9" s="17" t="n">
        <f aca="false">IF(_xlfn.MINIFS(Plan!$G$5:$G$262,Plan!$A$5:$A$262,A9)=0,"",_xlfn.MINIFS(Plan!$G$5:$G$262,Plan!$A$5:$A$262,A9))</f>
        <v>46317</v>
      </c>
      <c r="J9" s="17" t="str">
        <f aca="false">IF(_xlfn.MAXIFS(Plan!$H$5:$H$262,Plan!$A$5:$A$262,A9)=0,"",_xlfn.MAXIFS(Plan!$H$5:$H$262,Plan!$A$5:$A$262,A9))</f>
        <v/>
      </c>
    </row>
    <row r="10" customFormat="false" ht="15" hidden="false" customHeight="false" outlineLevel="0" collapsed="false">
      <c r="A10" s="15" t="n">
        <v>6</v>
      </c>
      <c r="B10" s="15" t="s">
        <v>188</v>
      </c>
      <c r="C10" s="15" t="n">
        <f aca="false">COUNTIF(Plan!$A$5:$A$262,A10)</f>
        <v>5</v>
      </c>
      <c r="D10" s="15" t="n">
        <f aca="false">COUNTIFS(Plan!$A$5:$A$262,$A10,Plan!$F$5:$F$262,"Done")</f>
        <v>0</v>
      </c>
      <c r="E10" s="15" t="n">
        <f aca="false">COUNTIFS(Plan!$A$5:$A$262,$A10,Plan!$F$5:$F$262,"In progress")</f>
        <v>0</v>
      </c>
      <c r="F10" s="15" t="n">
        <f aca="false">COUNTIFS(Plan!$A$5:$A$262,$A10,Plan!$F$5:$F$262,"Blocked")</f>
        <v>0</v>
      </c>
      <c r="G10" s="15" t="n">
        <f aca="false">C10-D10-E10-F10</f>
        <v>5</v>
      </c>
      <c r="H10" s="16" t="n">
        <f aca="false">IF(C10=0,0,D10/C10)</f>
        <v>0</v>
      </c>
      <c r="I10" s="17" t="str">
        <f aca="false">IF(_xlfn.MINIFS(Plan!$G$5:$G$262,Plan!$A$5:$A$262,A10)=0,"",_xlfn.MINIFS(Plan!$G$5:$G$262,Plan!$A$5:$A$262,A10))</f>
        <v/>
      </c>
      <c r="J10" s="17" t="str">
        <f aca="false">IF(_xlfn.MAXIFS(Plan!$H$5:$H$262,Plan!$A$5:$A$262,A10)=0,"",_xlfn.MAXIFS(Plan!$H$5:$H$262,Plan!$A$5:$A$262,A10))</f>
        <v/>
      </c>
    </row>
    <row r="11" customFormat="false" ht="15" hidden="false" customHeight="false" outlineLevel="0" collapsed="false">
      <c r="A11" s="15" t="n">
        <v>7</v>
      </c>
      <c r="B11" s="15" t="s">
        <v>204</v>
      </c>
      <c r="C11" s="15" t="n">
        <f aca="false">COUNTIF(Plan!$A$5:$A$262,A11)</f>
        <v>7</v>
      </c>
      <c r="D11" s="15" t="n">
        <f aca="false">COUNTIFS(Plan!$A$5:$A$262,$A11,Plan!$F$5:$F$262,"Done")</f>
        <v>0</v>
      </c>
      <c r="E11" s="15" t="n">
        <f aca="false">COUNTIFS(Plan!$A$5:$A$262,$A11,Plan!$F$5:$F$262,"In progress")</f>
        <v>0</v>
      </c>
      <c r="F11" s="15" t="n">
        <f aca="false">COUNTIFS(Plan!$A$5:$A$262,$A11,Plan!$F$5:$F$262,"Blocked")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IF(_xlfn.MINIFS(Plan!$G$5:$G$262,Plan!$A$5:$A$262,A11)=0,"",_xlfn.MINIFS(Plan!$G$5:$G$262,Plan!$A$5:$A$262,A11))</f>
        <v/>
      </c>
      <c r="J11" s="17" t="str">
        <f aca="false">IF(_xlfn.MAXIFS(Plan!$H$5:$H$262,Plan!$A$5:$A$262,A11)=0,"",_xlfn.MAXIFS(Plan!$H$5:$H$262,Plan!$A$5:$A$262,A11))</f>
        <v/>
      </c>
    </row>
    <row r="12" customFormat="false" ht="15" hidden="false" customHeight="false" outlineLevel="0" collapsed="false">
      <c r="A12" s="18"/>
      <c r="B12" s="18" t="s">
        <v>233</v>
      </c>
      <c r="C12" s="18" t="n">
        <f aca="false">SUM(C4:C11)</f>
        <v>58</v>
      </c>
      <c r="D12" s="18" t="n">
        <f aca="false">SUM(D4:D11)</f>
        <v>13</v>
      </c>
      <c r="E12" s="18" t="n">
        <f aca="false">SUM(E4:E11)</f>
        <v>14</v>
      </c>
      <c r="F12" s="18" t="n">
        <f aca="false">SUM(F4:F11)</f>
        <v>0</v>
      </c>
      <c r="G12" s="18" t="n">
        <f aca="false">SUM(G4:G11)</f>
        <v>31</v>
      </c>
      <c r="H12" s="19" t="n">
        <f aca="false">IF(C12=0,0,D12/C12)</f>
        <v>0.224137931034483</v>
      </c>
      <c r="I12" s="18"/>
      <c r="J12" s="18"/>
    </row>
    <row r="14" customFormat="false" ht="15" hidden="false" customHeight="false" outlineLevel="0" collapsed="false">
      <c r="A14" s="20" t="s">
        <v>234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{1A6C5287-C1C4-4CB7-AF1B-C8DC208DE3FA}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6C5287-C1C4-4CB7-AF1B-C8DC208DE3F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2026-10-22T17:10:25Z</dcterms:created>
  <dc:creator>openpyxl</dc:creator>
  <dc:description/>
  <dc:language>en-US</dc:language>
  <cp:lastModifiedBy/>
  <dcterms:modified xsi:type="dcterms:W3CDTF">2026-10-22T17:10:25Z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