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'Plan'!$A$4:$J$83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F6B74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4527A"/>
      </patternFill>
    </fill>
    <fill>
      <patternFill patternType="solid">
        <fgColor rgb="00FFF8DC"/>
      </patternFill>
    </fill>
    <fill>
      <patternFill patternType="solid">
        <fgColor rgb="00F3F6F9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1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1" fontId="4" fillId="4" borderId="1" applyAlignment="1" pivotButton="0" quotePrefix="0" xfId="0">
      <alignment vertical="top"/>
    </xf>
    <xf numFmtId="0" fontId="4" fillId="0" borderId="1" pivotButton="0" quotePrefix="0" xfId="0"/>
    <xf numFmtId="9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1F6B4F"/>
      </font>
      <fill>
        <patternFill patternType="solid">
          <fgColor rgb="00DFF0E7"/>
          <bgColor rgb="00DFF0E7"/>
        </patternFill>
      </fill>
    </dxf>
    <dxf>
      <font>
        <name val="Arial"/>
        <b val="1"/>
        <color rgb="008A5A00"/>
      </font>
      <fill>
        <patternFill patternType="solid">
          <fgColor rgb="00FBEFD5"/>
          <bgColor rgb="00FBEFD5"/>
        </patternFill>
      </fill>
    </dxf>
    <dxf>
      <font>
        <name val="Arial"/>
        <b val="1"/>
        <color rgb="00A3322A"/>
      </font>
      <fill>
        <patternFill patternType="solid">
          <fgColor rgb="00F8E3E0"/>
          <bgColor rgb="00F8E3E0"/>
        </patternFill>
      </fill>
    </dxf>
    <dxf>
      <font>
        <name val="Arial"/>
        <b val="1"/>
        <color rgb="0078858F"/>
      </font>
      <fill>
        <patternFill patternType="solid">
          <fgColor rgb="00ECEFF1"/>
          <b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I4" authorId="0" shapeId="0">
      <text>
        <t>End date − Start date + 1 (calendar days, inclusive). Blank until both dates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6" customWidth="1" min="3" max="3"/>
    <col width="28" customWidth="1" min="4" max="4"/>
    <col width="52" customWidth="1" min="5" max="5"/>
    <col width="13" customWidth="1" min="6" max="6"/>
    <col width="13" customWidth="1" min="7" max="7"/>
    <col width="13" customWidth="1" min="8" max="8"/>
    <col width="7" customWidth="1" min="9" max="9"/>
    <col width="48" customWidth="1" min="10" max="10"/>
  </cols>
  <sheetData>
    <row r="1">
      <c r="A1" s="1" t="inlineStr">
        <is>
          <t>RGBKart Marketplace – Project Plan</t>
        </is>
      </c>
    </row>
    <row r="2">
      <c r="A2" s="2" t="inlineStr">
        <is>
          <t>How to use: update Status, Start date, End date and Remarks (cream-coloured cells). Days and the Summary tab update themselves. Phase 0 rows show the expected format.</t>
        </is>
      </c>
    </row>
    <row r="4">
      <c r="A4" s="3" t="inlineStr">
        <is>
          <t>Phase</t>
        </is>
      </c>
      <c r="B4" s="3" t="inlineStr">
        <is>
          <t>Phase name</t>
        </is>
      </c>
      <c r="C4" s="3" t="inlineStr">
        <is>
          <t>ID</t>
        </is>
      </c>
      <c r="D4" s="3" t="inlineStr">
        <is>
          <t>Sub-phase</t>
        </is>
      </c>
      <c r="E4" s="3" t="inlineStr">
        <is>
          <t>What gets built</t>
        </is>
      </c>
      <c r="F4" s="3" t="inlineStr">
        <is>
          <t>Status</t>
        </is>
      </c>
      <c r="G4" s="3" t="inlineStr">
        <is>
          <t>Start date</t>
        </is>
      </c>
      <c r="H4" s="3" t="inlineStr">
        <is>
          <t>End date</t>
        </is>
      </c>
      <c r="I4" s="3" t="inlineStr">
        <is>
          <t>Days</t>
        </is>
      </c>
      <c r="J4" s="3" t="inlineStr">
        <is>
          <t>Remarks</t>
        </is>
      </c>
    </row>
    <row r="5">
      <c r="A5" s="4" t="n">
        <v>0</v>
      </c>
      <c r="B5" s="5" t="inlineStr">
        <is>
          <t>Foundation (accounts &amp; admin)</t>
        </is>
      </c>
      <c r="C5" s="6" t="inlineStr">
        <is>
          <t>0.1</t>
        </is>
      </c>
      <c r="D5" s="5" t="inlineStr">
        <is>
          <t>Supabase project &amp; keys</t>
        </is>
      </c>
      <c r="E5" s="5" t="inlineStr">
        <is>
          <t>Project created; project URL and publishable key connected to the app</t>
        </is>
      </c>
      <c r="F5" s="7" t="inlineStr">
        <is>
          <t>Done</t>
        </is>
      </c>
      <c r="G5" s="8" t="n">
        <v>46317</v>
      </c>
      <c r="H5" s="8" t="n">
        <v>46317</v>
      </c>
      <c r="I5" s="9">
        <f>IF(AND(G5&lt;&gt;"",H5&lt;&gt;""),H5-G5+1,"")</f>
        <v/>
      </c>
      <c r="J5" s="10" t="inlineStr">
        <is>
          <t>Done 22 Oct 2026</t>
        </is>
      </c>
    </row>
    <row r="6">
      <c r="A6" s="4" t="n">
        <v>0</v>
      </c>
      <c r="B6" s="5" t="inlineStr">
        <is>
          <t>Foundation (accounts &amp; admin)</t>
        </is>
      </c>
      <c r="C6" s="6" t="inlineStr">
        <is>
          <t>0.2</t>
        </is>
      </c>
      <c r="D6" s="5" t="inlineStr">
        <is>
          <t>Email sign-up &amp; sign-in</t>
        </is>
      </c>
      <c r="E6" s="5" t="inlineStr">
        <is>
          <t>Create account, sign in, sign out with email + password</t>
        </is>
      </c>
      <c r="F6" s="7" t="inlineStr">
        <is>
          <t>Done</t>
        </is>
      </c>
      <c r="G6" s="8" t="n">
        <v>46317</v>
      </c>
      <c r="H6" s="8" t="n">
        <v>46317</v>
      </c>
      <c r="I6" s="9">
        <f>IF(AND(G6&lt;&gt;"",H6&lt;&gt;""),H6-G6+1,"")</f>
        <v/>
      </c>
      <c r="J6" s="10" t="inlineStr"/>
    </row>
    <row r="7">
      <c r="A7" s="4" t="n">
        <v>0</v>
      </c>
      <c r="B7" s="5" t="inlineStr">
        <is>
          <t>Foundation (accounts &amp; admin)</t>
        </is>
      </c>
      <c r="C7" s="6" t="inlineStr">
        <is>
          <t>0.3</t>
        </is>
      </c>
      <c r="D7" s="5" t="inlineStr">
        <is>
          <t>Forgot password</t>
        </is>
      </c>
      <c r="E7" s="5" t="inlineStr">
        <is>
          <t>Reset link by email and 'Set a new password' screen</t>
        </is>
      </c>
      <c r="F7" s="7" t="inlineStr">
        <is>
          <t>Done</t>
        </is>
      </c>
      <c r="G7" s="8" t="n">
        <v>46317</v>
      </c>
      <c r="H7" s="8" t="n">
        <v>46317</v>
      </c>
      <c r="I7" s="9">
        <f>IF(AND(G7&lt;&gt;"",H7&lt;&gt;""),H7-G7+1,"")</f>
        <v/>
      </c>
      <c r="J7" s="10" t="inlineStr">
        <is>
          <t>Works only when the site runs from a web address (localhost or domain)</t>
        </is>
      </c>
    </row>
    <row r="8">
      <c r="A8" s="4" t="n">
        <v>0</v>
      </c>
      <c r="B8" s="5" t="inlineStr">
        <is>
          <t>Foundation (accounts &amp; admin)</t>
        </is>
      </c>
      <c r="C8" s="6" t="inlineStr">
        <is>
          <t>0.4</t>
        </is>
      </c>
      <c r="D8" s="5" t="inlineStr">
        <is>
          <t>Google &amp; Facebook sign-in</t>
        </is>
      </c>
      <c r="E8" s="5" t="inlineStr">
        <is>
          <t>Buttons built; provider apps must be configured</t>
        </is>
      </c>
      <c r="F8" s="7" t="inlineStr">
        <is>
          <t>In progress</t>
        </is>
      </c>
      <c r="G8" s="8" t="n">
        <v>46317</v>
      </c>
      <c r="H8" s="8" t="n"/>
      <c r="I8" s="9">
        <f>IF(AND(G8&lt;&gt;"",H8&lt;&gt;""),H8-G8+1,"")</f>
        <v/>
      </c>
      <c r="J8" s="10" t="inlineStr">
        <is>
          <t>Code done. To do: Google Cloud OAuth client, Meta app, enable both in Supabase, set Site URL + Redirect URLs</t>
        </is>
      </c>
    </row>
    <row r="9">
      <c r="A9" s="4" t="n">
        <v>0</v>
      </c>
      <c r="B9" s="5" t="inlineStr">
        <is>
          <t>Foundation (accounts &amp; admin)</t>
        </is>
      </c>
      <c r="C9" s="6" t="inlineStr">
        <is>
          <t>0.5</t>
        </is>
      </c>
      <c r="D9" s="5" t="inlineStr">
        <is>
          <t>Customer &amp; Seller sign-up</t>
        </is>
      </c>
      <c r="E9" s="5" t="inlineStr">
        <is>
          <t>Separate forms; sellers start as 'Pending approval'</t>
        </is>
      </c>
      <c r="F9" s="7" t="inlineStr">
        <is>
          <t>Done</t>
        </is>
      </c>
      <c r="G9" s="8" t="n">
        <v>46317</v>
      </c>
      <c r="H9" s="8" t="n">
        <v>46317</v>
      </c>
      <c r="I9" s="9">
        <f>IF(AND(G9&lt;&gt;"",H9&lt;&gt;""),H9-G9+1,"")</f>
        <v/>
      </c>
      <c r="J9" s="10" t="inlineStr">
        <is>
          <t>profiles.sql</t>
        </is>
      </c>
    </row>
    <row r="10">
      <c r="A10" s="4" t="n">
        <v>0</v>
      </c>
      <c r="B10" s="5" t="inlineStr">
        <is>
          <t>Foundation (accounts &amp; admin)</t>
        </is>
      </c>
      <c r="C10" s="6" t="inlineStr">
        <is>
          <t>0.6</t>
        </is>
      </c>
      <c r="D10" s="5" t="inlineStr">
        <is>
          <t>Admin panel &amp; staff roles</t>
        </is>
      </c>
      <c r="E10" s="5" t="inlineStr">
        <is>
          <t>admin.html: Master Admin, Co-admin, Editor; invite by email; approve sellers</t>
        </is>
      </c>
      <c r="F10" s="7" t="inlineStr">
        <is>
          <t>Done</t>
        </is>
      </c>
      <c r="G10" s="8" t="n">
        <v>46317</v>
      </c>
      <c r="H10" s="8" t="n">
        <v>46317</v>
      </c>
      <c r="I10" s="9">
        <f>IF(AND(G10&lt;&gt;"",H10&lt;&gt;""),H10-G10+1,"")</f>
        <v/>
      </c>
      <c r="J10" s="10" t="inlineStr">
        <is>
          <t>admin.sql; permissions tested on a test database</t>
        </is>
      </c>
    </row>
    <row r="11">
      <c r="A11" s="4" t="n">
        <v>0</v>
      </c>
      <c r="B11" s="5" t="inlineStr">
        <is>
          <t>Foundation (accounts &amp; admin)</t>
        </is>
      </c>
      <c r="C11" s="6" t="inlineStr">
        <is>
          <t>0.7</t>
        </is>
      </c>
      <c r="D11" s="5" t="inlineStr">
        <is>
          <t>Install &amp; live test</t>
        </is>
      </c>
      <c r="E11" s="5" t="inlineStr">
        <is>
          <t>Run setup.sql, profiles.sql, admin.sql; make yourself Master Admin; test every sign-in flow</t>
        </is>
      </c>
      <c r="F11" s="7" t="inlineStr">
        <is>
          <t>Done</t>
        </is>
      </c>
      <c r="G11" s="8" t="n">
        <v>46317</v>
      </c>
      <c r="H11" s="8" t="n">
        <v>46317</v>
      </c>
      <c r="I11" s="9">
        <f>IF(AND(G11&lt;&gt;"",H11&lt;&gt;""),H11-G11+1,"")</f>
        <v/>
      </c>
      <c r="J11" s="10" t="inlineStr">
        <is>
          <t>All 3 SQL files run OK; hkmanik@gmail.com is Master Admin (22 Oct). To do: URL Configuration, open admin.html, test sign-in flows</t>
        </is>
      </c>
    </row>
    <row r="12">
      <c r="A12" s="11" t="n">
        <v>1</v>
      </c>
      <c r="B12" s="12" t="inlineStr">
        <is>
          <t>Catalog &amp; Seller Products</t>
        </is>
      </c>
      <c r="C12" s="13" t="inlineStr">
        <is>
          <t>1.1</t>
        </is>
      </c>
      <c r="D12" s="12" t="inlineStr">
        <is>
          <t>Admin sidebar layout</t>
        </is>
      </c>
      <c r="E12" s="12" t="inlineStr">
        <is>
          <t>Left sidebar menu grouped by Catalog, People, Storefront, Money, Settings; folds to a menu button on phones</t>
        </is>
      </c>
      <c r="F12" s="7" t="inlineStr">
        <is>
          <t>Done</t>
        </is>
      </c>
      <c r="G12" s="8" t="n">
        <v>46317</v>
      </c>
      <c r="H12" s="8" t="n">
        <v>46317</v>
      </c>
      <c r="I12" s="14">
        <f>IF(AND(G12&lt;&gt;"",H12&lt;&gt;""),H12-G12+1,"")</f>
        <v/>
      </c>
      <c r="J12" s="10" t="inlineStr">
        <is>
          <t>Built 22 Oct in admin.html. Test after running catalog.sql</t>
        </is>
      </c>
    </row>
    <row r="13">
      <c r="A13" s="11" t="n">
        <v>1</v>
      </c>
      <c r="B13" s="12" t="inlineStr">
        <is>
          <t>Catalog &amp; Seller Products</t>
        </is>
      </c>
      <c r="C13" s="13" t="inlineStr">
        <is>
          <t>1.2</t>
        </is>
      </c>
      <c r="D13" s="12" t="inlineStr">
        <is>
          <t>Categories &amp; sub-categories</t>
        </is>
      </c>
      <c r="E13" s="12" t="inlineStr">
        <is>
          <t>One tree (e.g. Electronics › Mobile › Smartphones) with icon, sort order, on/off</t>
        </is>
      </c>
      <c r="F13" s="7" t="inlineStr">
        <is>
          <t>Done</t>
        </is>
      </c>
      <c r="G13" s="8" t="n">
        <v>46317</v>
      </c>
      <c r="H13" s="8" t="n">
        <v>46317</v>
      </c>
      <c r="I13" s="14">
        <f>IF(AND(G13&lt;&gt;"",H13&lt;&gt;""),H13-G13+1,"")</f>
        <v/>
      </c>
      <c r="J13" s="10" t="inlineStr">
        <is>
          <t>Built 22 Oct. catalog_seed.sql adds 20 categories + 100 sub-categories (editable)</t>
        </is>
      </c>
    </row>
    <row r="14">
      <c r="A14" s="11" t="n">
        <v>1</v>
      </c>
      <c r="B14" s="12" t="inlineStr">
        <is>
          <t>Catalog &amp; Seller Products</t>
        </is>
      </c>
      <c r="C14" s="13" t="inlineStr">
        <is>
          <t>1.3</t>
        </is>
      </c>
      <c r="D14" s="12" t="inlineStr">
        <is>
          <t>Attributes</t>
        </is>
      </c>
      <c r="E14" s="12" t="inlineStr">
        <is>
          <t>Create attributes (Colour, Size, RAM…) and attach them to categories</t>
        </is>
      </c>
      <c r="F14" s="7" t="inlineStr">
        <is>
          <t>Done</t>
        </is>
      </c>
      <c r="G14" s="8" t="n">
        <v>46317</v>
      </c>
      <c r="H14" s="8" t="n">
        <v>46317</v>
      </c>
      <c r="I14" s="14">
        <f>IF(AND(G14&lt;&gt;"",H14&lt;&gt;""),H14-G14+1,"")</f>
        <v/>
      </c>
      <c r="J14" s="10" t="inlineStr">
        <is>
          <t>Built 22 Oct. catalog_seed.sql adds 136 dropdown attributes, 1,315 choices, linked to categories</t>
        </is>
      </c>
    </row>
    <row r="15">
      <c r="A15" s="11" t="n">
        <v>1</v>
      </c>
      <c r="B15" s="12" t="inlineStr">
        <is>
          <t>Catalog &amp; Seller Products</t>
        </is>
      </c>
      <c r="C15" s="13" t="inlineStr">
        <is>
          <t>1.4</t>
        </is>
      </c>
      <c r="D15" s="12" t="inlineStr">
        <is>
          <t>Product database &amp; image storage</t>
        </is>
      </c>
      <c r="E15" s="12" t="inlineStr">
        <is>
          <t>Products table, Supabase Storage bucket for photos, security rules</t>
        </is>
      </c>
      <c r="F15" s="7" t="inlineStr">
        <is>
          <t>Done</t>
        </is>
      </c>
      <c r="G15" s="8" t="n">
        <v>46317</v>
      </c>
      <c r="H15" s="8" t="n">
        <v>46317</v>
      </c>
      <c r="I15" s="14">
        <f>IF(AND(G15&lt;&gt;"",H15&lt;&gt;""),H15-G15+1,"")</f>
        <v/>
      </c>
      <c r="J15" s="10" t="inlineStr">
        <is>
          <t>Built 22 Oct (products.sql): product tables, review flow, photo bucket. Tested; installed in Supabase 22 Oct</t>
        </is>
      </c>
    </row>
    <row r="16">
      <c r="A16" s="11" t="n">
        <v>1</v>
      </c>
      <c r="B16" s="12" t="inlineStr">
        <is>
          <t>Catalog &amp; Seller Products</t>
        </is>
      </c>
      <c r="C16" s="13" t="inlineStr">
        <is>
          <t>1.5</t>
        </is>
      </c>
      <c r="D16" s="12" t="inlineStr">
        <is>
          <t>Seller: add &amp; edit products</t>
        </is>
      </c>
      <c r="E16" s="12" t="inlineStr">
        <is>
          <t>Approved sellers add title, price (৳), photos, description, category, attribute values</t>
        </is>
      </c>
      <c r="F16" s="7" t="inlineStr">
        <is>
          <t>Done</t>
        </is>
      </c>
      <c r="G16" s="8" t="n">
        <v>46317</v>
      </c>
      <c r="H16" s="8" t="n">
        <v>46317</v>
      </c>
      <c r="I16" s="14">
        <f>IF(AND(G16&lt;&gt;"",H16&lt;&gt;""),H16-G16+1,"")</f>
        <v/>
      </c>
      <c r="J16" s="10" t="inlineStr">
        <is>
          <t>Built 22 Oct: seller.html + products_v2.sql + product_options.sql. New / Pre-owned, Free listing / Featured, Main + 7 gallery photos, pricing, stock, shipping, linked products; Downloadable, Service, Gift card, Pre-order, Wholesale price, COD on/off</t>
        </is>
      </c>
    </row>
    <row r="17">
      <c r="A17" s="11" t="n">
        <v>1</v>
      </c>
      <c r="B17" s="12" t="inlineStr">
        <is>
          <t>Catalog &amp; Seller Products</t>
        </is>
      </c>
      <c r="C17" s="13" t="inlineStr">
        <is>
          <t>1.6</t>
        </is>
      </c>
      <c r="D17" s="12" t="inlineStr">
        <is>
          <t>Variants &amp; stock</t>
        </is>
      </c>
      <c r="E17" s="12" t="inlineStr">
        <is>
          <t>Size/colour options with their own price and stock count</t>
        </is>
      </c>
      <c r="F17" s="7" t="inlineStr">
        <is>
          <t>Done</t>
        </is>
      </c>
      <c r="G17" s="8" t="n">
        <v>46317</v>
      </c>
      <c r="H17" s="8" t="n">
        <v>46317</v>
      </c>
      <c r="I17" s="14">
        <f>IF(AND(G17&lt;&gt;"",H17&lt;&gt;""),H17-G17+1,"")</f>
        <v/>
      </c>
      <c r="J17" s="10" t="inlineStr">
        <is>
          <t>Built with 1.5: variations (e.g. Colour × Storage) with own price, sale, stock, SKU, photo</t>
        </is>
      </c>
    </row>
    <row r="18">
      <c r="A18" s="11" t="n">
        <v>1</v>
      </c>
      <c r="B18" s="12" t="inlineStr">
        <is>
          <t>Catalog &amp; Seller Products</t>
        </is>
      </c>
      <c r="C18" s="13" t="inlineStr">
        <is>
          <t>1.7</t>
        </is>
      </c>
      <c r="D18" s="12" t="inlineStr">
        <is>
          <t>Product approval</t>
        </is>
      </c>
      <c r="E18" s="12" t="inlineStr">
        <is>
          <t>Editor / Co-admin review new products before they go live</t>
        </is>
      </c>
      <c r="F18" s="7" t="inlineStr">
        <is>
          <t>Done</t>
        </is>
      </c>
      <c r="G18" s="8" t="n">
        <v>46317</v>
      </c>
      <c r="H18" s="8" t="n">
        <v>46317</v>
      </c>
      <c r="I18" s="14">
        <f>IF(AND(G18&lt;&gt;"",H18&lt;&gt;""),H18-G18+1,"")</f>
        <v/>
      </c>
      <c r="J18" s="10" t="inlineStr">
        <is>
          <t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      </is>
      </c>
    </row>
    <row r="19">
      <c r="A19" s="11" t="n">
        <v>1</v>
      </c>
      <c r="B19" s="12" t="inlineStr">
        <is>
          <t>Catalog &amp; Seller Products</t>
        </is>
      </c>
      <c r="C19" s="13" t="inlineStr">
        <is>
          <t>1.8</t>
        </is>
      </c>
      <c r="D19" s="12" t="inlineStr">
        <is>
          <t>Seller shop page</t>
        </is>
      </c>
      <c r="E19" s="12" t="inlineStr">
        <is>
          <t>Public page per shop: logo, banner, products</t>
        </is>
      </c>
      <c r="F19" s="7" t="inlineStr">
        <is>
          <t>Done</t>
        </is>
      </c>
      <c r="G19" s="8" t="n">
        <v>46317</v>
      </c>
      <c r="H19" s="8" t="n">
        <v>46317</v>
      </c>
      <c r="I19" s="14">
        <f>IF(AND(G19&lt;&gt;"",H19&lt;&gt;""),H19-G19+1,"")</f>
        <v/>
      </c>
      <c r="J19" s="10" t="inlineStr">
        <is>
          <t>Shop settings built 22 Oct (shop_settings.sql): logo, banner, web address, contact, social links, vacation mode, payout details. Public shop page still to build · 23 Oct: store.html?s=&lt;shop&gt; with banner, logo, contact, about, search, category filter, sort and pages; linked from product, cart and orders</t>
        </is>
      </c>
    </row>
    <row r="20">
      <c r="A20" s="4" t="n">
        <v>2</v>
      </c>
      <c r="B20" s="5" t="inlineStr">
        <is>
          <t>Customer Shopping</t>
        </is>
      </c>
      <c r="C20" s="6" t="inlineStr">
        <is>
          <t>2.1</t>
        </is>
      </c>
      <c r="D20" s="5" t="inlineStr">
        <is>
          <t>Home page</t>
        </is>
      </c>
      <c r="E20" s="5" t="inlineStr">
        <is>
          <t>Banners, featured categories, new and popular products</t>
        </is>
      </c>
      <c r="F20" s="7" t="inlineStr">
        <is>
          <t>In progress</t>
        </is>
      </c>
      <c r="G20" s="8" t="n">
        <v>46317</v>
      </c>
      <c r="H20" s="8" t="n"/>
      <c r="I20" s="9">
        <f>IF(AND(G20&lt;&gt;"",H20&lt;&gt;""),H20-G20+1,"")</f>
        <v/>
      </c>
      <c r="J20" s="10" t="inlineStr">
        <is>
          <t>Updated 22 Oct: 6×2 category cards, All categories page (categories.html), admin-managed product sections (Featured, Deals of the Day, New arrivals…), New/Pre-owned/Sale labels, heart, cart icon with count. Banners editable later (5.9) · 23 Oct: Top shops sliding row, new section types (with options, brand new, negotiable), category pictures</t>
        </is>
      </c>
    </row>
    <row r="21">
      <c r="A21" s="4" t="n">
        <v>2</v>
      </c>
      <c r="B21" s="5" t="inlineStr">
        <is>
          <t>Customer Shopping</t>
        </is>
      </c>
      <c r="C21" s="6" t="inlineStr">
        <is>
          <t>2.2</t>
        </is>
      </c>
      <c r="D21" s="5" t="inlineStr">
        <is>
          <t>Product listing &amp; filters</t>
        </is>
      </c>
      <c r="E21" s="5" t="inlineStr">
        <is>
          <t>Browse by category; filter by price, brand, rating; sort</t>
        </is>
      </c>
      <c r="F21" s="7" t="inlineStr">
        <is>
          <t>In progress</t>
        </is>
      </c>
      <c r="G21" s="8" t="n">
        <v>46317</v>
      </c>
      <c r="H21" s="8" t="n"/>
      <c r="I21" s="9">
        <f>IF(AND(G21&lt;&gt;"",H21&lt;&gt;""),H21-G21+1,"")</f>
        <v/>
      </c>
      <c r="J21" s="10" t="inlineStr">
        <is>
          <t>Built 22 Oct (browse.html): left sidebar with expandable categories, filters (condition, price, district, featured, free delivery), sort, show more · 23 Oct: page numbers with Previous / Next (24 per page), fixed header and menu, coloured sub-category buttons, picture icons in the sidebar</t>
        </is>
      </c>
    </row>
    <row r="22">
      <c r="A22" s="4" t="n">
        <v>2</v>
      </c>
      <c r="B22" s="5" t="inlineStr">
        <is>
          <t>Customer Shopping</t>
        </is>
      </c>
      <c r="C22" s="6" t="inlineStr">
        <is>
          <t>2.3</t>
        </is>
      </c>
      <c r="D22" s="5" t="inlineStr">
        <is>
          <t>Search</t>
        </is>
      </c>
      <c r="E22" s="5" t="inlineStr">
        <is>
          <t>Search by product name, shop, category</t>
        </is>
      </c>
      <c r="F22" s="7" t="inlineStr">
        <is>
          <t>In progress</t>
        </is>
      </c>
      <c r="G22" s="8" t="n">
        <v>46317</v>
      </c>
      <c r="H22" s="8" t="n"/>
      <c r="I22" s="9">
        <f>IF(AND(G22&lt;&gt;"",H22&lt;&gt;""),H22-G22+1,"")</f>
        <v/>
      </c>
      <c r="J22" s="10" t="inlineStr">
        <is>
          <t>Built 22 Oct: search by name, description and tags; matching categories suggested. Cart page (cart.html) added</t>
        </is>
      </c>
    </row>
    <row r="23">
      <c r="A23" s="4" t="n">
        <v>2</v>
      </c>
      <c r="B23" s="5" t="inlineStr">
        <is>
          <t>Customer Shopping</t>
        </is>
      </c>
      <c r="C23" s="6" t="inlineStr">
        <is>
          <t>2.4</t>
        </is>
      </c>
      <c r="D23" s="5" t="inlineStr">
        <is>
          <t>Product detail page</t>
        </is>
      </c>
      <c r="E23" s="5" t="inlineStr">
        <is>
          <t>Photos, variants, stock, seller info, delivery estimate</t>
        </is>
      </c>
      <c r="F23" s="7" t="inlineStr">
        <is>
          <t>In progress</t>
        </is>
      </c>
      <c r="G23" s="8" t="n">
        <v>46317</v>
      </c>
      <c r="H23" s="8" t="n"/>
      <c r="I23" s="9">
        <f>IF(AND(G23&lt;&gt;"",H23&lt;&gt;""),H23-G23+1,"")</f>
        <v/>
      </c>
      <c r="J23" s="10" t="inlineStr">
        <is>
          <t>Built 22 Oct (product.html): gallery, variations, price/sale, stock, Contact seller (Call/WhatsApp), Add to cart, Buy now. Cart saved on device until checkout (3.2)</t>
        </is>
      </c>
    </row>
    <row r="24">
      <c r="A24" s="4" t="n">
        <v>2</v>
      </c>
      <c r="B24" s="5" t="inlineStr">
        <is>
          <t>Customer Shopping</t>
        </is>
      </c>
      <c r="C24" s="6" t="inlineStr">
        <is>
          <t>2.5</t>
        </is>
      </c>
      <c r="D24" s="5" t="inlineStr">
        <is>
          <t>Wishlist</t>
        </is>
      </c>
      <c r="E24" s="5" t="inlineStr">
        <is>
          <t>Customers save products for later</t>
        </is>
      </c>
      <c r="F24" s="7" t="inlineStr">
        <is>
          <t>Done</t>
        </is>
      </c>
      <c r="G24" s="8" t="n">
        <v>46317</v>
      </c>
      <c r="H24" s="8" t="n">
        <v>46318</v>
      </c>
      <c r="I24" s="9">
        <f>IF(AND(G24&lt;&gt;"",H24&lt;&gt;""),H24-G24+1,"")</f>
        <v/>
      </c>
      <c r="J24" s="10" t="inlineStr">
        <is>
          <t>23 Oct (0031_saved_lists.sql): saved items kept in the customer account (customer_lists) and on every device; merged at sign-in, cleared from the device at sign-out</t>
        </is>
      </c>
    </row>
    <row r="25">
      <c r="A25" s="4" t="n">
        <v>2</v>
      </c>
      <c r="B25" s="5" t="inlineStr">
        <is>
          <t>Customer Shopping</t>
        </is>
      </c>
      <c r="C25" s="6" t="inlineStr">
        <is>
          <t>2.6</t>
        </is>
      </c>
      <c r="D25" s="5" t="inlineStr">
        <is>
          <t>Cart</t>
        </is>
      </c>
      <c r="E25" s="5" t="inlineStr">
        <is>
          <t>Add, update, remove items; cart saved to account</t>
        </is>
      </c>
      <c r="F25" s="7" t="inlineStr">
        <is>
          <t>Done</t>
        </is>
      </c>
      <c r="G25" s="8" t="n">
        <v>46317</v>
      </c>
      <c r="H25" s="8" t="n">
        <v>46318</v>
      </c>
      <c r="I25" s="9">
        <f>IF(AND(G25&lt;&gt;"",H25&lt;&gt;""),H25-G25+1,"")</f>
        <v/>
      </c>
      <c r="J25" s="10" t="inlineStr">
        <is>
          <t>23 Oct (0031_saved_lists.sql): cart kept in the customer account and on every device (sync.js); prices/stock still checked live and by place_order</t>
        </is>
      </c>
    </row>
    <row r="26">
      <c r="A26" s="4" t="n">
        <v>2</v>
      </c>
      <c r="B26" s="5" t="inlineStr">
        <is>
          <t>Customer Shopping</t>
        </is>
      </c>
      <c r="C26" s="6" t="inlineStr">
        <is>
          <t>2.7</t>
        </is>
      </c>
      <c r="D26" s="5" t="inlineStr">
        <is>
          <t>Buyer–seller messages</t>
        </is>
      </c>
      <c r="E26" s="5" t="inlineStr">
        <is>
          <t>Buyers message sellers about a product; both reply on the Messages page</t>
        </is>
      </c>
      <c r="F26" s="7" t="inlineStr">
        <is>
          <t>Done</t>
        </is>
      </c>
      <c r="G26" s="8" t="n">
        <v>46317</v>
      </c>
      <c r="H26" s="8" t="n">
        <v>46317</v>
      </c>
      <c r="I26" s="9">
        <f>IF(AND(G26&lt;&gt;"",H26&lt;&gt;""),H26-G26+1,"")</f>
        <v/>
      </c>
      <c r="J26" s="10" t="inlineStr">
        <is>
          <t>Built 22 Oct (messages.html, contact_messages.sql). Only buyer and seller can read a chat. 23 Oct: email alert for new messages (max one per chat every 30 minutes)</t>
        </is>
      </c>
    </row>
    <row r="27">
      <c r="A27" s="4" t="n">
        <v>2</v>
      </c>
      <c r="B27" s="5" t="inlineStr">
        <is>
          <t>Customer Shopping</t>
        </is>
      </c>
      <c r="C27" s="6" t="inlineStr">
        <is>
          <t>2.8</t>
        </is>
      </c>
      <c r="D27" s="5" t="inlineStr">
        <is>
          <t>English / Bangla</t>
        </is>
      </c>
      <c r="E27" s="5" t="inlineStr">
        <is>
          <t>Language switch; shop pages, names of categories, products and shops in Bangla</t>
        </is>
      </c>
      <c r="F27" s="7" t="inlineStr">
        <is>
          <t>In progress</t>
        </is>
      </c>
      <c r="G27" s="8" t="n">
        <v>46317</v>
      </c>
      <c r="H27" s="8" t="n"/>
      <c r="I27" s="9">
        <f>IF(AND(G27&lt;&gt;"",H27&lt;&gt;""),H27-G27+1,"")</f>
        <v/>
      </c>
      <c r="J27" s="10" t="inlineStr">
        <is>
          <t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      </is>
      </c>
    </row>
    <row r="28">
      <c r="A28" s="11" t="n">
        <v>3</v>
      </c>
      <c r="B28" s="12" t="inlineStr">
        <is>
          <t>Checkout &amp; Payments</t>
        </is>
      </c>
      <c r="C28" s="13" t="inlineStr">
        <is>
          <t>3.1</t>
        </is>
      </c>
      <c r="D28" s="12" t="inlineStr">
        <is>
          <t>Address book</t>
        </is>
      </c>
      <c r="E28" s="12" t="inlineStr">
        <is>
          <t>Customers save delivery addresses (division, district, area)</t>
        </is>
      </c>
      <c r="F28" s="7" t="inlineStr">
        <is>
          <t>Done</t>
        </is>
      </c>
      <c r="G28" s="8" t="n">
        <v>46318</v>
      </c>
      <c r="H28" s="8" t="n">
        <v>46318</v>
      </c>
      <c r="I28" s="14">
        <f>IF(AND(G28&lt;&gt;"",H28&lt;&gt;""),H28-G28+1,"")</f>
        <v/>
      </c>
      <c r="J28" s="10" t="inlineStr">
        <is>
          <t>Checkout remembers the last address on the device and fills it from the customer profile; full address book later · 23 Oct: account.html (profile, tiles, saved addresses up to 10 with a default, recent orders, change password); checkout picks a saved address and can save a new one (0028_customer_account.sql)</t>
        </is>
      </c>
    </row>
    <row r="29">
      <c r="A29" s="11" t="n">
        <v>3</v>
      </c>
      <c r="B29" s="12" t="inlineStr">
        <is>
          <t>Checkout &amp; Payments</t>
        </is>
      </c>
      <c r="C29" s="13" t="inlineStr">
        <is>
          <t>3.2</t>
        </is>
      </c>
      <c r="D29" s="12" t="inlineStr">
        <is>
          <t>Checkout flow</t>
        </is>
      </c>
      <c r="E29" s="12" t="inlineStr">
        <is>
          <t>Address → delivery option → payment → review → place order</t>
        </is>
      </c>
      <c r="F29" s="7" t="inlineStr">
        <is>
          <t>In progress</t>
        </is>
      </c>
      <c r="G29" s="8" t="n">
        <v>46317</v>
      </c>
      <c r="H29" s="8" t="n"/>
      <c r="I29" s="14">
        <f>IF(AND(G29&lt;&gt;"",H29&lt;&gt;""),H29-G29+1,"")</f>
        <v/>
      </c>
      <c r="J29" s="10" t="inlineStr">
        <is>
          <t>23 Oct: checkout.html, delivery details → Cash on Delivery → one order per shop (0020_orders.sql, place_order checks prices and stock)</t>
        </is>
      </c>
    </row>
    <row r="30">
      <c r="A30" s="11" t="n">
        <v>3</v>
      </c>
      <c r="B30" s="12" t="inlineStr">
        <is>
          <t>Checkout &amp; Payments</t>
        </is>
      </c>
      <c r="C30" s="13" t="inlineStr">
        <is>
          <t>3.3</t>
        </is>
      </c>
      <c r="D30" s="12" t="inlineStr">
        <is>
          <t>Cash on delivery</t>
        </is>
      </c>
      <c r="E30" s="12" t="inlineStr">
        <is>
          <t>COD option with order limits</t>
        </is>
      </c>
      <c r="F30" s="7" t="inlineStr">
        <is>
          <t>In progress</t>
        </is>
      </c>
      <c r="G30" s="8" t="n">
        <v>46317</v>
      </c>
      <c r="H30" s="8" t="n"/>
      <c r="I30" s="14">
        <f>IF(AND(G30&lt;&gt;"",H30&lt;&gt;""),H30-G30+1,"")</f>
        <v/>
      </c>
      <c r="J30" s="10" t="inlineStr">
        <is>
          <t>Cash on Delivery is the only payment; RGBKart never holds money. Order limits per day in place</t>
        </is>
      </c>
    </row>
    <row r="31">
      <c r="A31" s="11" t="n">
        <v>3</v>
      </c>
      <c r="B31" s="12" t="inlineStr">
        <is>
          <t>Checkout &amp; Payments</t>
        </is>
      </c>
      <c r="C31" s="13" t="inlineStr">
        <is>
          <t>3.4</t>
        </is>
      </c>
      <c r="D31" s="12" t="inlineStr">
        <is>
          <t>bKash &amp; Nagad</t>
        </is>
      </c>
      <c r="E31" s="12" t="inlineStr">
        <is>
          <t>Mobile wallet payments</t>
        </is>
      </c>
      <c r="F31" s="7" t="inlineStr">
        <is>
          <t>Not started</t>
        </is>
      </c>
      <c r="G31" s="8" t="n"/>
      <c r="H31" s="8" t="n"/>
      <c r="I31" s="14">
        <f>IF(AND(G31&lt;&gt;"",H31&lt;&gt;""),H31-G31+1,"")</f>
        <v/>
      </c>
      <c r="J31" s="10" t="inlineStr">
        <is>
          <t>Needs merchant accounts</t>
        </is>
      </c>
    </row>
    <row r="32">
      <c r="A32" s="11" t="n">
        <v>3</v>
      </c>
      <c r="B32" s="12" t="inlineStr">
        <is>
          <t>Checkout &amp; Payments</t>
        </is>
      </c>
      <c r="C32" s="13" t="inlineStr">
        <is>
          <t>3.5</t>
        </is>
      </c>
      <c r="D32" s="12" t="inlineStr">
        <is>
          <t>Card payments</t>
        </is>
      </c>
      <c r="E32" s="12" t="inlineStr">
        <is>
          <t>Payment gateway (e.g. SSLCommerz) for cards</t>
        </is>
      </c>
      <c r="F32" s="7" t="inlineStr">
        <is>
          <t>Not started</t>
        </is>
      </c>
      <c r="G32" s="8" t="n"/>
      <c r="H32" s="8" t="n"/>
      <c r="I32" s="14">
        <f>IF(AND(G32&lt;&gt;"",H32&lt;&gt;""),H32-G32+1,"")</f>
        <v/>
      </c>
      <c r="J32" s="10" t="inlineStr">
        <is>
          <t>Needs merchant account</t>
        </is>
      </c>
    </row>
    <row r="33">
      <c r="A33" s="11" t="n">
        <v>3</v>
      </c>
      <c r="B33" s="12" t="inlineStr">
        <is>
          <t>Checkout &amp; Payments</t>
        </is>
      </c>
      <c r="C33" s="13" t="inlineStr">
        <is>
          <t>3.6</t>
        </is>
      </c>
      <c r="D33" s="12" t="inlineStr">
        <is>
          <t>Coupons &amp; vouchers</t>
        </is>
      </c>
      <c r="E33" s="12" t="inlineStr">
        <is>
          <t>Shop discount codes</t>
        </is>
      </c>
      <c r="F33" s="7" t="inlineStr">
        <is>
          <t>Done</t>
        </is>
      </c>
      <c r="G33" s="8" t="n">
        <v>46318</v>
      </c>
      <c r="H33" s="8" t="n">
        <v>46318</v>
      </c>
      <c r="I33" s="14">
        <f>IF(AND(G33&lt;&gt;"",H33&lt;&gt;""),H33-G33+1,"")</f>
        <v/>
      </c>
      <c r="J33" s="10" t="inlineStr">
        <is>
          <t>23 Oct (0033_shop_coupons.sql): each shop makes its own codes in Seller Center → Coupons (taka or % off, cap, minimum order, dates, total and per-buyer limits, on/off); buyers apply them per shop in the cart; place_order checks again, records the use, total = items + delivery − discount; cancelled orders give the use back; shown on invoices and My orders. Zero commission: the shop gives the discount</t>
        </is>
      </c>
    </row>
    <row r="34">
      <c r="A34" s="11" t="n">
        <v>3</v>
      </c>
      <c r="B34" s="12" t="inlineStr">
        <is>
          <t>Checkout &amp; Payments</t>
        </is>
      </c>
      <c r="C34" s="13" t="inlineStr">
        <is>
          <t>3.7</t>
        </is>
      </c>
      <c r="D34" s="12" t="inlineStr">
        <is>
          <t>Order confirmation</t>
        </is>
      </c>
      <c r="E34" s="12" t="inlineStr">
        <is>
          <t>Email/SMS receipt after order</t>
        </is>
      </c>
      <c r="F34" s="7" t="inlineStr">
        <is>
          <t>In progress</t>
        </is>
      </c>
      <c r="G34" s="8" t="n">
        <v>46317</v>
      </c>
      <c r="H34" s="8" t="n"/>
      <c r="I34" s="14">
        <f>IF(AND(G34&lt;&gt;"",H34&lt;&gt;""),H34-G34+1,"")</f>
        <v/>
      </c>
      <c r="J34" s="10" t="inlineStr">
        <is>
          <t>23 Oct: email to the customer (if they gave an email) and the shop for each order and each status change (0021_alerts.sql). Goes live once Resend is set up. SMS later</t>
        </is>
      </c>
    </row>
    <row r="35">
      <c r="A35" s="4" t="n">
        <v>4</v>
      </c>
      <c r="B35" s="5" t="inlineStr">
        <is>
          <t>Orders &amp; Delivery</t>
        </is>
      </c>
      <c r="C35" s="6" t="inlineStr">
        <is>
          <t>4.1</t>
        </is>
      </c>
      <c r="D35" s="5" t="inlineStr">
        <is>
          <t>Split orders by seller</t>
        </is>
      </c>
      <c r="E35" s="5" t="inlineStr">
        <is>
          <t>One cart with several shops becomes one order per seller</t>
        </is>
      </c>
      <c r="F35" s="7" t="inlineStr">
        <is>
          <t>Done</t>
        </is>
      </c>
      <c r="G35" s="8" t="n">
        <v>46317</v>
      </c>
      <c r="H35" s="8" t="n"/>
      <c r="I35" s="9">
        <f>IF(AND(G35&lt;&gt;"",H35&lt;&gt;""),H35-G35+1,"")</f>
        <v/>
      </c>
      <c r="J35" s="10" t="inlineStr">
        <is>
          <t>One cart with several shops becomes one order per shop (order numbers RGB-YYMMDD-XXXXX)</t>
        </is>
      </c>
    </row>
    <row r="36">
      <c r="A36" s="4" t="n">
        <v>4</v>
      </c>
      <c r="B36" s="5" t="inlineStr">
        <is>
          <t>Orders &amp; Delivery</t>
        </is>
      </c>
      <c r="C36" s="6" t="inlineStr">
        <is>
          <t>4.2</t>
        </is>
      </c>
      <c r="D36" s="5" t="inlineStr">
        <is>
          <t>Seller order management</t>
        </is>
      </c>
      <c r="E36" s="5" t="inlineStr">
        <is>
          <t>Sellers accept, pack, mark shipped</t>
        </is>
      </c>
      <c r="F36" s="7" t="inlineStr">
        <is>
          <t>In progress</t>
        </is>
      </c>
      <c r="G36" s="8" t="n">
        <v>46317</v>
      </c>
      <c r="H36" s="8" t="n"/>
      <c r="I36" s="9">
        <f>IF(AND(G36&lt;&gt;"",H36&lt;&gt;""),H36-G36+1,"")</f>
        <v/>
      </c>
      <c r="J36" s="10" t="inlineStr">
        <is>
          <t>Seller Center → Orders: confirm, pack, ship (tracking note), deliver, cancel with reason; print invoice and packing slip</t>
        </is>
      </c>
    </row>
    <row r="37">
      <c r="A37" s="4" t="n">
        <v>4</v>
      </c>
      <c r="B37" s="5" t="inlineStr">
        <is>
          <t>Orders &amp; Delivery</t>
        </is>
      </c>
      <c r="C37" s="6" t="inlineStr">
        <is>
          <t>4.3</t>
        </is>
      </c>
      <c r="D37" s="5" t="inlineStr">
        <is>
          <t>Courier integration</t>
        </is>
      </c>
      <c r="E37" s="5" t="inlineStr">
        <is>
          <t>Book deliveries with couriers (e.g. Pathao, Steadfast, RedX)</t>
        </is>
      </c>
      <c r="F37" s="7" t="inlineStr">
        <is>
          <t>Not started</t>
        </is>
      </c>
      <c r="G37" s="8" t="n"/>
      <c r="H37" s="8" t="n"/>
      <c r="I37" s="9">
        <f>IF(AND(G37&lt;&gt;"",H37&lt;&gt;""),H37-G37+1,"")</f>
        <v/>
      </c>
      <c r="J37" s="10" t="inlineStr">
        <is>
          <t>Needs courier API accounts</t>
        </is>
      </c>
    </row>
    <row r="38">
      <c r="A38" s="4" t="n">
        <v>4</v>
      </c>
      <c r="B38" s="5" t="inlineStr">
        <is>
          <t>Orders &amp; Delivery</t>
        </is>
      </c>
      <c r="C38" s="6" t="inlineStr">
        <is>
          <t>4.4</t>
        </is>
      </c>
      <c r="D38" s="5" t="inlineStr">
        <is>
          <t>Order tracking</t>
        </is>
      </c>
      <c r="E38" s="5" t="inlineStr">
        <is>
          <t>Customers see order status and tracking</t>
        </is>
      </c>
      <c r="F38" s="7" t="inlineStr">
        <is>
          <t>In progress</t>
        </is>
      </c>
      <c r="G38" s="8" t="n">
        <v>46317</v>
      </c>
      <c r="H38" s="8" t="n"/>
      <c r="I38" s="9">
        <f>IF(AND(G38&lt;&gt;"",H38&lt;&gt;""),H38-G38+1,"")</f>
        <v/>
      </c>
      <c r="J38" s="10" t="inlineStr">
        <is>
          <t>orders.html: customers see progress steps and the shop's delivery info; call/WhatsApp the shop</t>
        </is>
      </c>
    </row>
    <row r="39">
      <c r="A39" s="4" t="n">
        <v>4</v>
      </c>
      <c r="B39" s="5" t="inlineStr">
        <is>
          <t>Orders &amp; Delivery</t>
        </is>
      </c>
      <c r="C39" s="6" t="inlineStr">
        <is>
          <t>4.5</t>
        </is>
      </c>
      <c r="D39" s="5" t="inlineStr">
        <is>
          <t>Cancellations</t>
        </is>
      </c>
      <c r="E39" s="5" t="inlineStr">
        <is>
          <t>Rules for customer and seller cancellations</t>
        </is>
      </c>
      <c r="F39" s="7" t="inlineStr">
        <is>
          <t>In progress</t>
        </is>
      </c>
      <c r="G39" s="8" t="n">
        <v>46317</v>
      </c>
      <c r="H39" s="8" t="n"/>
      <c r="I39" s="9">
        <f>IF(AND(G39&lt;&gt;"",H39&lt;&gt;""),H39-G39+1,"")</f>
        <v/>
      </c>
      <c r="J39" s="10" t="inlineStr">
        <is>
          <t>Customer cancels while new/confirmed; shop or admin cancels with a reason; stock goes back</t>
        </is>
      </c>
    </row>
    <row r="40">
      <c r="A40" s="4" t="n">
        <v>4</v>
      </c>
      <c r="B40" s="5" t="inlineStr">
        <is>
          <t>Orders &amp; Delivery</t>
        </is>
      </c>
      <c r="C40" s="6" t="inlineStr">
        <is>
          <t>4.6</t>
        </is>
      </c>
      <c r="D40" s="5" t="inlineStr">
        <is>
          <t>Returns &amp; refunds</t>
        </is>
      </c>
      <c r="E40" s="5" t="inlineStr">
        <is>
          <t>Return requests, approval, refund to wallet/payment method</t>
        </is>
      </c>
      <c r="F40" s="7" t="inlineStr">
        <is>
          <t>Done</t>
        </is>
      </c>
      <c r="G40" s="8" t="n">
        <v>46318</v>
      </c>
      <c r="H40" s="8" t="n">
        <v>46318</v>
      </c>
      <c r="I40" s="9">
        <f>IF(AND(G40&lt;&gt;"",H40&lt;&gt;""),H40-G40+1,"")</f>
        <v/>
      </c>
      <c r="J40" s="10" t="inlineStr">
        <is>
          <t>23 Oct (0036_returns.sql): My orders → Return this item within the product's return days (saved on the order line); reason, refund or exchange, details, up to 3 private photos; shop accepts / declines / marks item received (stock back) in Seller Center → Returns; admin sees all in Admin → Returns; alerts both ways. Refund paid by the shop directly (RGBKart holds no money)</t>
        </is>
      </c>
    </row>
    <row r="41">
      <c r="A41" s="11" t="n">
        <v>5</v>
      </c>
      <c r="B41" s="12" t="inlineStr">
        <is>
          <t>Money: Payouts, Promotions &amp; Admin</t>
        </is>
      </c>
      <c r="C41" s="13" t="inlineStr">
        <is>
          <t>5.1</t>
        </is>
      </c>
      <c r="D41" s="12" t="inlineStr">
        <is>
          <t>Commission rules</t>
        </is>
      </c>
      <c r="E41" s="12" t="inlineStr">
        <is>
          <t>Platform commission per category or seller</t>
        </is>
      </c>
      <c r="F41" s="7" t="inlineStr">
        <is>
          <t>Not needed</t>
        </is>
      </c>
      <c r="G41" s="8" t="n"/>
      <c r="H41" s="8" t="n"/>
      <c r="I41" s="14">
        <f>IF(AND(G41&lt;&gt;"",H41&lt;&gt;""),H41-G41+1,"")</f>
        <v/>
      </c>
      <c r="J41" s="10" t="inlineStr">
        <is>
          <t>Not needed (owner, 23 Oct): zero commission, and sellers collect cash on delivery themselves, so RGBKart holds no seller money. Payouts button removed from Seller Center.</t>
        </is>
      </c>
    </row>
    <row r="42">
      <c r="A42" s="11" t="n">
        <v>5</v>
      </c>
      <c r="B42" s="12" t="inlineStr">
        <is>
          <t>Money: Payouts, Promotions &amp; Admin</t>
        </is>
      </c>
      <c r="C42" s="13" t="inlineStr">
        <is>
          <t>5.2</t>
        </is>
      </c>
      <c r="D42" s="12" t="inlineStr">
        <is>
          <t>Seller balance</t>
        </is>
      </c>
      <c r="E42" s="12" t="inlineStr">
        <is>
          <t>Earnings after commission, held until delivery confirmed</t>
        </is>
      </c>
      <c r="F42" s="7" t="inlineStr">
        <is>
          <t>Not needed</t>
        </is>
      </c>
      <c r="G42" s="8" t="n"/>
      <c r="H42" s="8" t="n"/>
      <c r="I42" s="14">
        <f>IF(AND(G42&lt;&gt;"",H42&lt;&gt;""),H42-G42+1,"")</f>
        <v/>
      </c>
      <c r="J42" s="10" t="inlineStr">
        <is>
          <t>Not needed (owner, 23 Oct): zero commission, and sellers collect cash on delivery themselves, so RGBKart holds no seller money. Payouts button removed from Seller Center.</t>
        </is>
      </c>
    </row>
    <row r="43">
      <c r="A43" s="11" t="n">
        <v>5</v>
      </c>
      <c r="B43" s="12" t="inlineStr">
        <is>
          <t>Money: Payouts, Promotions &amp; Admin</t>
        </is>
      </c>
      <c r="C43" s="13" t="inlineStr">
        <is>
          <t>5.3</t>
        </is>
      </c>
      <c r="D43" s="12" t="inlineStr">
        <is>
          <t>Payouts</t>
        </is>
      </c>
      <c r="E43" s="12" t="inlineStr">
        <is>
          <t>Sellers request payout; admin marks paid (bank/bKash)</t>
        </is>
      </c>
      <c r="F43" s="7" t="inlineStr">
        <is>
          <t>Not needed</t>
        </is>
      </c>
      <c r="G43" s="8" t="n"/>
      <c r="H43" s="8" t="n"/>
      <c r="I43" s="14">
        <f>IF(AND(G43&lt;&gt;"",H43&lt;&gt;""),H43-G43+1,"")</f>
        <v/>
      </c>
      <c r="J43" s="10" t="inlineStr">
        <is>
          <t>Not needed (owner, 23 Oct): zero commission, and sellers collect cash on delivery themselves, so RGBKart holds no seller money. Payouts button removed from Seller Center.</t>
        </is>
      </c>
    </row>
    <row r="44">
      <c r="A44" s="11" t="n">
        <v>5</v>
      </c>
      <c r="B44" s="12" t="inlineStr">
        <is>
          <t>Money: Payouts, Promotions &amp; Admin</t>
        </is>
      </c>
      <c r="C44" s="13" t="inlineStr">
        <is>
          <t>5.4</t>
        </is>
      </c>
      <c r="D44" s="12" t="inlineStr">
        <is>
          <t>Featured listing packages</t>
        </is>
      </c>
      <c r="E44" s="12" t="inlineStr">
        <is>
          <t>Admin sets packages: placement (home, category top), rate (৳) and duration (days)</t>
        </is>
      </c>
      <c r="F44" s="7" t="inlineStr">
        <is>
          <t>In progress</t>
        </is>
      </c>
      <c r="G44" s="8" t="n">
        <v>46317</v>
      </c>
      <c r="H44" s="8" t="n"/>
      <c r="I44" s="14">
        <f>IF(AND(G44&lt;&gt;"",H44&lt;&gt;""),H44-G44+1,"")</f>
        <v/>
      </c>
      <c r="J44" s="10" t="inlineStr">
        <is>
          <t>Rate list (7/15/30 days, admin-editable); sellers pick a duration; admin can give Featured free (Products → Make Featured free). 0018_admin_tools.sql</t>
        </is>
      </c>
    </row>
    <row r="45">
      <c r="A45" s="11" t="n">
        <v>5</v>
      </c>
      <c r="B45" s="12" t="inlineStr">
        <is>
          <t>Money: Payouts, Promotions &amp; Admin</t>
        </is>
      </c>
      <c r="C45" s="13" t="inlineStr">
        <is>
          <t>5.5</t>
        </is>
      </c>
      <c r="D45" s="12" t="inlineStr">
        <is>
          <t>Advertisement types &amp; rates</t>
        </is>
      </c>
      <c r="E45" s="12" t="inlineStr">
        <is>
          <t>Admin defines ad types (home banner, category banner, sidebar, popup), size, rate and duration</t>
        </is>
      </c>
      <c r="F45" s="7" t="inlineStr">
        <is>
          <t>In progress</t>
        </is>
      </c>
      <c r="G45" s="8" t="n">
        <v>46317</v>
      </c>
      <c r="H45" s="8" t="n"/>
      <c r="I45" s="14">
        <f>IF(AND(G45&lt;&gt;"",H45&lt;&gt;""),H45-G45+1,"")</f>
        <v/>
      </c>
      <c r="J45" s="10" t="inlineStr">
        <is>
          <t>23 Oct: Admin → Featured &amp; ads: price per day for Home banner strip, Home mid-page banner, Category sidebar; admin creates ads (own or for a seller), shown on the site</t>
        </is>
      </c>
    </row>
    <row r="46">
      <c r="A46" s="11" t="n">
        <v>5</v>
      </c>
      <c r="B46" s="12" t="inlineStr">
        <is>
          <t>Money: Payouts, Promotions &amp; Admin</t>
        </is>
      </c>
      <c r="C46" s="13" t="inlineStr">
        <is>
          <t>5.6</t>
        </is>
      </c>
      <c r="D46" s="12" t="inlineStr">
        <is>
          <t>Seller buys featured / ads</t>
        </is>
      </c>
      <c r="E46" s="12" t="inlineStr">
        <is>
          <t>Seller picks a package, uploads banner (ads), pays, sees status and expiry</t>
        </is>
      </c>
      <c r="F46" s="7" t="inlineStr">
        <is>
          <t>In progress</t>
        </is>
      </c>
      <c r="G46" s="8" t="n">
        <v>46317</v>
      </c>
      <c r="H46" s="8" t="n"/>
      <c r="I46" s="14">
        <f>IF(AND(G46&lt;&gt;"",H46&lt;&gt;""),H46-G46+1,"")</f>
        <v/>
      </c>
      <c r="J46" s="10" t="inlineStr">
        <is>
          <t>23 Oct: sellers pay Featured fees (Sell page, Seller Center) and book + pay for ads (Seller Center → Advertise). Ad pictures optional</t>
        </is>
      </c>
    </row>
    <row r="47">
      <c r="A47" s="11" t="n">
        <v>5</v>
      </c>
      <c r="B47" s="12" t="inlineStr">
        <is>
          <t>Money: Payouts, Promotions &amp; Admin</t>
        </is>
      </c>
      <c r="C47" s="13" t="inlineStr">
        <is>
          <t>5.7</t>
        </is>
      </c>
      <c r="D47" s="12" t="inlineStr">
        <is>
          <t>Payment verification</t>
        </is>
      </c>
      <c r="E47" s="12" t="inlineStr">
        <is>
          <t>Admin queue for manual payments (bKash, Nagad, bank): check TrxID &amp; amount, approve or reject with reason</t>
        </is>
      </c>
      <c r="F47" s="7" t="inlineStr">
        <is>
          <t>In progress</t>
        </is>
      </c>
      <c r="G47" s="8" t="n">
        <v>46317</v>
      </c>
      <c r="H47" s="8" t="n"/>
      <c r="I47" s="14">
        <f>IF(AND(G47&lt;&gt;"",H47&lt;&gt;""),H47-G47+1,"")</f>
        <v/>
      </c>
      <c r="J47" s="10" t="inlineStr">
        <is>
          <t>23 Oct: Admin → Payments: bKash/Nagad/Upay/Rocket numbers; queue with Verify &amp; start / Reject with reason; each TrxID usable only once (0019_payments.sql). Order payments come with checkout</t>
        </is>
      </c>
    </row>
    <row r="48">
      <c r="A48" s="11" t="n">
        <v>5</v>
      </c>
      <c r="B48" s="12" t="inlineStr">
        <is>
          <t>Money: Payouts, Promotions &amp; Admin</t>
        </is>
      </c>
      <c r="C48" s="13" t="inlineStr">
        <is>
          <t>5.8</t>
        </is>
      </c>
      <c r="D48" s="12" t="inlineStr">
        <is>
          <t>Auto start, expiry &amp; renewal</t>
        </is>
      </c>
      <c r="E48" s="12" t="inlineStr">
        <is>
          <t>Featured items and ads switch on at approval, switch off at end date; reminder before expiry</t>
        </is>
      </c>
      <c r="F48" s="7" t="inlineStr">
        <is>
          <t>In progress</t>
        </is>
      </c>
      <c r="G48" s="8" t="n">
        <v>46317</v>
      </c>
      <c r="H48" s="8" t="n"/>
      <c r="I48" s="14">
        <f>IF(AND(G48&lt;&gt;"",H48&lt;&gt;""),H48-G48+1,"")</f>
        <v/>
      </c>
      <c r="J48" s="10" t="inlineStr">
        <is>
          <t>Featured and ads end by themselves on their end date. Reminders before expiry still to do</t>
        </is>
      </c>
    </row>
    <row r="49">
      <c r="A49" s="11" t="n">
        <v>5</v>
      </c>
      <c r="B49" s="12" t="inlineStr">
        <is>
          <t>Money: Payouts, Promotions &amp; Admin</t>
        </is>
      </c>
      <c r="C49" s="13" t="inlineStr">
        <is>
          <t>5.9</t>
        </is>
      </c>
      <c r="D49" s="12" t="inlineStr">
        <is>
          <t>Home page editor</t>
        </is>
      </c>
      <c r="E49" s="12" t="inlineStr">
        <is>
          <t>Banners, featured categories, product sections; order and on/off</t>
        </is>
      </c>
      <c r="F49" s="7" t="inlineStr">
        <is>
          <t>In progress</t>
        </is>
      </c>
      <c r="G49" s="8" t="n">
        <v>46317</v>
      </c>
      <c r="H49" s="8" t="n"/>
      <c r="I49" s="14">
        <f>IF(AND(G49&lt;&gt;"",H49&lt;&gt;""),H49-G49+1,"")</f>
        <v/>
      </c>
      <c r="J49" s="10" t="inlineStr">
        <is>
          <t>22 Oct: Admin → Home page adds, edits, hides, reorders and deletes product sections (home_sections.sql). Banners still to do. Editors allowed</t>
        </is>
      </c>
    </row>
    <row r="50">
      <c r="A50" s="11" t="n">
        <v>5</v>
      </c>
      <c r="B50" s="12" t="inlineStr">
        <is>
          <t>Money: Payouts, Promotions &amp; Admin</t>
        </is>
      </c>
      <c r="C50" s="13" t="inlineStr">
        <is>
          <t>5.10</t>
        </is>
      </c>
      <c r="D50" s="12" t="inlineStr">
        <is>
          <t>Reports</t>
        </is>
      </c>
      <c r="E50" s="12" t="inlineStr">
        <is>
          <t>Sales, orders, featured &amp; ad income, top sellers; export</t>
        </is>
      </c>
      <c r="F50" s="7" t="inlineStr">
        <is>
          <t>In progress</t>
        </is>
      </c>
      <c r="G50" s="8" t="n">
        <v>46317</v>
      </c>
      <c r="H50" s="8" t="n"/>
      <c r="I50" s="14">
        <f>IF(AND(G50&lt;&gt;"",H50&lt;&gt;""),H50-G50+1,"")</f>
        <v/>
      </c>
      <c r="J50" s="10" t="inlineStr">
        <is>
          <t>23 Oct: Admin → Reports: daily/weekly/monthly/yearly/custom; visitors, sign-ups, listings, Featured &amp; ad income; charts; CSV download. Sales/orders come with checkout</t>
        </is>
      </c>
    </row>
    <row r="51">
      <c r="A51" s="11" t="n">
        <v>5</v>
      </c>
      <c r="B51" s="12" t="inlineStr">
        <is>
          <t>Money: Payouts, Promotions &amp; Admin</t>
        </is>
      </c>
      <c r="C51" s="13" t="inlineStr">
        <is>
          <t>5.11</t>
        </is>
      </c>
      <c r="D51" s="12" t="inlineStr">
        <is>
          <t>Activity log</t>
        </is>
      </c>
      <c r="E51" s="12" t="inlineStr">
        <is>
          <t>Record of admin actions (who approved what, when)</t>
        </is>
      </c>
      <c r="F51" s="7" t="inlineStr">
        <is>
          <t>Done</t>
        </is>
      </c>
      <c r="G51" s="8" t="n">
        <v>46318</v>
      </c>
      <c r="H51" s="8" t="n">
        <v>46318</v>
      </c>
      <c r="I51" s="14">
        <f>IF(AND(G51&lt;&gt;"",H51&lt;&gt;""),H51-G51+1,"")</f>
        <v/>
      </c>
      <c r="J51" s="10" t="inlineStr">
        <is>
          <t>23 Oct (0037_activity_log.sql): database triggers on 26 tables record every add/change/delete made by staff (who, role, when, what changed from → to); Admin → Activity log for Master Admin and Co-admins with filters, search and CSV download; entries cannot be edited or deleted</t>
        </is>
      </c>
    </row>
    <row r="52">
      <c r="A52" s="4" t="n">
        <v>6</v>
      </c>
      <c r="B52" s="5" t="inlineStr">
        <is>
          <t>Reviews, Notifications &amp; Trust</t>
        </is>
      </c>
      <c r="C52" s="6" t="inlineStr">
        <is>
          <t>6.1</t>
        </is>
      </c>
      <c r="D52" s="5" t="inlineStr">
        <is>
          <t>Reviews &amp; ratings</t>
        </is>
      </c>
      <c r="E52" s="5" t="inlineStr">
        <is>
          <t>Verified buyers rate products and sellers</t>
        </is>
      </c>
      <c r="F52" s="7" t="inlineStr">
        <is>
          <t>Done</t>
        </is>
      </c>
      <c r="G52" s="8" t="n">
        <v>46318</v>
      </c>
      <c r="H52" s="8" t="n">
        <v>46318</v>
      </c>
      <c r="I52" s="9">
        <f>IF(AND(G52&lt;&gt;"",H52&lt;&gt;""),H52-G52+1,"")</f>
        <v/>
      </c>
      <c r="J52" s="10" t="inlineStr">
        <is>
          <t>23 Oct (0029_reviews.sql): after delivery the buyer rates the shop and each product (stars + comment) on My orders; stars on product cards, product page, shop page and Top shops; Top rated sort and 4-star filter; shop replies in Seller Center → Reviews; staff hide/show in Admin → Reviews. Demo reviews: supabase/seed/demo_reviews.sql</t>
        </is>
      </c>
    </row>
    <row r="53">
      <c r="A53" s="4" t="n">
        <v>6</v>
      </c>
      <c r="B53" s="5" t="inlineStr">
        <is>
          <t>Reviews, Notifications &amp; Trust</t>
        </is>
      </c>
      <c r="C53" s="6" t="inlineStr">
        <is>
          <t>6.2</t>
        </is>
      </c>
      <c r="D53" s="5" t="inlineStr">
        <is>
          <t>Notifications</t>
        </is>
      </c>
      <c r="E53" s="5" t="inlineStr">
        <is>
          <t>Email, SMS and in-app alerts for orders and approvals</t>
        </is>
      </c>
      <c r="F53" s="7" t="inlineStr">
        <is>
          <t>In progress</t>
        </is>
      </c>
      <c r="G53" s="8" t="n">
        <v>46317</v>
      </c>
      <c r="H53" s="8" t="n"/>
      <c r="I53" s="9">
        <f>IF(AND(G53&lt;&gt;"",H53&lt;&gt;""),H53-G53+1,"")</f>
        <v/>
      </c>
      <c r="J53" s="10" t="inlineStr">
        <is>
          <t>23 Oct: Alerts page + header bell + email via Resend for orders, payments, listing review, shop approval, messages, Featured/ad ending soon. Each person can switch emails off. Email sending pending, see 7.8. SMS later</t>
        </is>
      </c>
    </row>
    <row r="54">
      <c r="A54" s="4" t="n">
        <v>6</v>
      </c>
      <c r="B54" s="5" t="inlineStr">
        <is>
          <t>Reviews, Notifications &amp; Trust</t>
        </is>
      </c>
      <c r="C54" s="6" t="inlineStr">
        <is>
          <t>6.3</t>
        </is>
      </c>
      <c r="D54" s="5" t="inlineStr">
        <is>
          <t>Product Q&amp;A</t>
        </is>
      </c>
      <c r="E54" s="5" t="inlineStr">
        <is>
          <t>Customers ask questions; sellers answer</t>
        </is>
      </c>
      <c r="F54" s="7" t="inlineStr">
        <is>
          <t>Done</t>
        </is>
      </c>
      <c r="G54" s="8" t="n">
        <v>46318</v>
      </c>
      <c r="H54" s="8" t="n">
        <v>46318</v>
      </c>
      <c r="I54" s="9">
        <f>IF(AND(G54&lt;&gt;"",H54&lt;&gt;""),H54-G54+1,"")</f>
        <v/>
      </c>
      <c r="J54" s="10" t="inlineStr">
        <is>
          <t>23 Oct (0032_product_questions.sql): Questions &amp; answers on product pages (guests too); seller answers on the product page or Seller Center → Questions; buyer alerted; free one-time listings cannot put phone/email/links in answers; Admin → Questions hide/show</t>
        </is>
      </c>
    </row>
    <row r="55">
      <c r="A55" s="4" t="n">
        <v>6</v>
      </c>
      <c r="B55" s="5" t="inlineStr">
        <is>
          <t>Reviews, Notifications &amp; Trust</t>
        </is>
      </c>
      <c r="C55" s="6" t="inlineStr">
        <is>
          <t>6.4</t>
        </is>
      </c>
      <c r="D55" s="5" t="inlineStr">
        <is>
          <t>Seller verification</t>
        </is>
      </c>
      <c r="E55" s="5" t="inlineStr">
        <is>
          <t>Upload NID / trade license documents for approval</t>
        </is>
      </c>
      <c r="F55" s="7" t="inlineStr">
        <is>
          <t>Done</t>
        </is>
      </c>
      <c r="G55" s="8" t="n">
        <v>46318</v>
      </c>
      <c r="H55" s="8" t="n">
        <v>46318</v>
      </c>
      <c r="I55" s="9">
        <f>IF(AND(G55&lt;&gt;"",H55&lt;&gt;""),H55-G55+1,"")</f>
        <v/>
      </c>
      <c r="J55" s="10" t="inlineStr">
        <is>
          <t>23 Oct (0038_seller_verification.sql): Seller Center → Get verified (NID / trade licence / passport, up to 4 private files); Admin → Verification approve / reject with note, remove badge; '✓ Verified shop' on shop page, product page and Top shops; only staff can set the badge</t>
        </is>
      </c>
    </row>
    <row r="56">
      <c r="A56" s="4" t="n">
        <v>6</v>
      </c>
      <c r="B56" s="5" t="inlineStr">
        <is>
          <t>Reviews, Notifications &amp; Trust</t>
        </is>
      </c>
      <c r="C56" s="6" t="inlineStr">
        <is>
          <t>6.5</t>
        </is>
      </c>
      <c r="D56" s="5" t="inlineStr">
        <is>
          <t>Fraud &amp; reports</t>
        </is>
      </c>
      <c r="E56" s="5" t="inlineStr">
        <is>
          <t>Report products/sellers; flag risky COD orders</t>
        </is>
      </c>
      <c r="F56" s="7" t="inlineStr">
        <is>
          <t>Done</t>
        </is>
      </c>
      <c r="G56" s="8" t="n">
        <v>46318</v>
      </c>
      <c r="H56" s="8" t="n">
        <v>46318</v>
      </c>
      <c r="I56" s="9">
        <f>IF(AND(G56&lt;&gt;"",H56&lt;&gt;""),H56-G56+1,"")</f>
        <v/>
      </c>
      <c r="J56" s="10" t="inlineStr">
        <is>
          <t>23 Oct (0030_reports_fraud.sql): Report this product / shop on product, shop and My orders pages (also guests); Admin → Complaints (to check / closed, note, resolved / dismissed, reporter alerted); Seller Center orders show buyer history from all shops (delivered, refused, cancelled) with Risky / Check first / Trusted / New labels; quick cancel reasons incl. Customer refused the parcel</t>
        </is>
      </c>
    </row>
    <row r="57">
      <c r="A57" s="11" t="n">
        <v>7</v>
      </c>
      <c r="B57" s="12" t="inlineStr">
        <is>
          <t>Launch</t>
        </is>
      </c>
      <c r="C57" s="13" t="inlineStr">
        <is>
          <t>7.1</t>
        </is>
      </c>
      <c r="D57" s="12" t="inlineStr">
        <is>
          <t>Hosting &amp; domain</t>
        </is>
      </c>
      <c r="E57" s="12" t="inlineStr">
        <is>
          <t>Put site online (e.g. Vercel/Netlify) on your domain</t>
        </is>
      </c>
      <c r="F57" s="7" t="inlineStr">
        <is>
          <t>Not started</t>
        </is>
      </c>
      <c r="G57" s="8" t="n"/>
      <c r="H57" s="8" t="n"/>
      <c r="I57" s="14">
        <f>IF(AND(G57&lt;&gt;"",H57&lt;&gt;""),H57-G57+1,"")</f>
        <v/>
      </c>
      <c r="J57" s="10" t="inlineStr"/>
    </row>
    <row r="58">
      <c r="A58" s="11" t="n">
        <v>7</v>
      </c>
      <c r="B58" s="12" t="inlineStr">
        <is>
          <t>Launch</t>
        </is>
      </c>
      <c r="C58" s="13" t="inlineStr">
        <is>
          <t>7.2</t>
        </is>
      </c>
      <c r="D58" s="12" t="inlineStr">
        <is>
          <t>Email sender</t>
        </is>
      </c>
      <c r="E58" s="12" t="inlineStr">
        <is>
          <t>Custom SMTP and branded auth email templates</t>
        </is>
      </c>
      <c r="F58" s="7" t="inlineStr">
        <is>
          <t>Not started</t>
        </is>
      </c>
      <c r="G58" s="8" t="n"/>
      <c r="H58" s="8" t="n"/>
      <c r="I58" s="14">
        <f>IF(AND(G58&lt;&gt;"",H58&lt;&gt;""),H58-G58+1,"")</f>
        <v/>
      </c>
      <c r="J58" s="10" t="inlineStr">
        <is>
          <t>Supabase free email is limited to a few per hour</t>
        </is>
      </c>
    </row>
    <row r="59">
      <c r="A59" s="11" t="n">
        <v>7</v>
      </c>
      <c r="B59" s="12" t="inlineStr">
        <is>
          <t>Launch</t>
        </is>
      </c>
      <c r="C59" s="13" t="inlineStr">
        <is>
          <t>7.3</t>
        </is>
      </c>
      <c r="D59" s="12" t="inlineStr">
        <is>
          <t>Policies</t>
        </is>
      </c>
      <c r="E59" s="12" t="inlineStr">
        <is>
          <t>Privacy policy, terms, return &amp; refund policy</t>
        </is>
      </c>
      <c r="F59" s="7" t="inlineStr">
        <is>
          <t>In progress</t>
        </is>
      </c>
      <c r="G59" s="8" t="n">
        <v>46318</v>
      </c>
      <c r="H59" s="8" t="n"/>
      <c r="I59" s="14">
        <f>IF(AND(G59&lt;&gt;"",H59&lt;&gt;""),H59-G59+1,"")</f>
        <v/>
      </c>
      <c r="J59" s="10" t="inlineStr">
        <is>
          <t>23 Oct (0039_site_pages.sql): About, Contact, Terms, Privacy, Return &amp; refund, Seller rules pages in English and Bangla (page.html?p=…), linked in every footer, editable in Admin → Pages &amp; policies. TO DO by owner: fill the [square bracket] parts (support email/phone, address, date) and have a lawyer check Terms and Privacy</t>
        </is>
      </c>
    </row>
    <row r="60">
      <c r="A60" s="11" t="n">
        <v>7</v>
      </c>
      <c r="B60" s="12" t="inlineStr">
        <is>
          <t>Launch</t>
        </is>
      </c>
      <c r="C60" s="13" t="inlineStr">
        <is>
          <t>7.4</t>
        </is>
      </c>
      <c r="D60" s="12" t="inlineStr">
        <is>
          <t>Security review</t>
        </is>
      </c>
      <c r="E60" s="12" t="inlineStr">
        <is>
          <t>Re-check all database security rules and admin access</t>
        </is>
      </c>
      <c r="F60" s="7" t="inlineStr">
        <is>
          <t>Not started</t>
        </is>
      </c>
      <c r="G60" s="8" t="n"/>
      <c r="H60" s="8" t="n"/>
      <c r="I60" s="14">
        <f>IF(AND(G60&lt;&gt;"",H60&lt;&gt;""),H60-G60+1,"")</f>
        <v/>
      </c>
      <c r="J60" s="10" t="inlineStr"/>
    </row>
    <row r="61">
      <c r="A61" s="11" t="n">
        <v>7</v>
      </c>
      <c r="B61" s="12" t="inlineStr">
        <is>
          <t>Launch</t>
        </is>
      </c>
      <c r="C61" s="13" t="inlineStr">
        <is>
          <t>7.5</t>
        </is>
      </c>
      <c r="D61" s="12" t="inlineStr">
        <is>
          <t>Testing</t>
        </is>
      </c>
      <c r="E61" s="12" t="inlineStr">
        <is>
          <t>Full test with real customers, sellers and staff</t>
        </is>
      </c>
      <c r="F61" s="7" t="inlineStr">
        <is>
          <t>Not started</t>
        </is>
      </c>
      <c r="G61" s="8" t="n"/>
      <c r="H61" s="8" t="n"/>
      <c r="I61" s="14">
        <f>IF(AND(G61&lt;&gt;"",H61&lt;&gt;""),H61-G61+1,"")</f>
        <v/>
      </c>
      <c r="J61" s="10" t="inlineStr"/>
    </row>
    <row r="62">
      <c r="A62" s="11" t="n">
        <v>7</v>
      </c>
      <c r="B62" s="12" t="inlineStr">
        <is>
          <t>Launch</t>
        </is>
      </c>
      <c r="C62" s="13" t="inlineStr">
        <is>
          <t>7.6</t>
        </is>
      </c>
      <c r="D62" s="12" t="inlineStr">
        <is>
          <t>SEO &amp; speed</t>
        </is>
      </c>
      <c r="E62" s="12" t="inlineStr">
        <is>
          <t>Page titles, sharing previews, image sizes, sitemap</t>
        </is>
      </c>
      <c r="F62" s="7" t="inlineStr">
        <is>
          <t>Not started</t>
        </is>
      </c>
      <c r="G62" s="8" t="n"/>
      <c r="H62" s="8" t="n"/>
      <c r="I62" s="14">
        <f>IF(AND(G62&lt;&gt;"",H62&lt;&gt;""),H62-G62+1,"")</f>
        <v/>
      </c>
      <c r="J62" s="10" t="inlineStr"/>
    </row>
    <row r="63">
      <c r="A63" s="11" t="n">
        <v>7</v>
      </c>
      <c r="B63" s="12" t="inlineStr">
        <is>
          <t>Launch</t>
        </is>
      </c>
      <c r="C63" s="13" t="inlineStr">
        <is>
          <t>7.7</t>
        </is>
      </c>
      <c r="D63" s="12" t="inlineStr">
        <is>
          <t>Go live &amp; backups</t>
        </is>
      </c>
      <c r="E63" s="12" t="inlineStr">
        <is>
          <t>Launch, monitoring, database backups</t>
        </is>
      </c>
      <c r="F63" s="7" t="inlineStr">
        <is>
          <t>Not started</t>
        </is>
      </c>
      <c r="G63" s="8" t="n"/>
      <c r="H63" s="8" t="n"/>
      <c r="I63" s="14">
        <f>IF(AND(G63&lt;&gt;"",H63&lt;&gt;""),H63-G63+1,"")</f>
        <v/>
      </c>
      <c r="J63" s="10" t="inlineStr"/>
    </row>
    <row r="64">
      <c r="A64" s="11" t="n">
        <v>7</v>
      </c>
      <c r="B64" s="12" t="inlineStr">
        <is>
          <t>Launch</t>
        </is>
      </c>
      <c r="C64" s="13" t="inlineStr">
        <is>
          <t>7.8</t>
        </is>
      </c>
      <c r="D64" s="12" t="inlineStr">
        <is>
          <t>Email alerts (sending)</t>
        </is>
      </c>
      <c r="E64" s="12" t="inlineStr">
        <is>
          <t>Send the alerts by email from our own domain through Resend</t>
        </is>
      </c>
      <c r="F64" s="7" t="inlineStr">
        <is>
          <t>Blocked</t>
        </is>
      </c>
      <c r="G64" s="8" t="n"/>
      <c r="H64" s="8" t="n"/>
      <c r="I64" s="14">
        <f>IF(AND(G64&lt;&gt;"",H64&lt;&gt;""),H64-G64+1,"")</f>
        <v/>
      </c>
      <c r="J64" s="10" t="inlineStr">
        <is>
          <t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      </is>
      </c>
    </row>
    <row r="65">
      <c r="A65" s="11" t="n">
        <v>7</v>
      </c>
      <c r="B65" s="12" t="inlineStr">
        <is>
          <t>Launch</t>
        </is>
      </c>
      <c r="C65" s="13" t="inlineStr">
        <is>
          <t>7.9</t>
        </is>
      </c>
      <c r="D65" s="12" t="inlineStr">
        <is>
          <t>Remove demo data</t>
        </is>
      </c>
      <c r="E65" s="12" t="inlineStr">
        <is>
          <t>Delete the 3 demo sellers, their 100 demo products and the demo home sections before launch</t>
        </is>
      </c>
      <c r="F65" s="7" t="inlineStr">
        <is>
          <t>Not started</t>
        </is>
      </c>
      <c r="G65" s="8" t="n"/>
      <c r="H65" s="8" t="n"/>
      <c r="I65" s="14">
        <f>IF(AND(G65&lt;&gt;"",H65&lt;&gt;""),H65-G65+1,"")</f>
        <v/>
      </c>
      <c r="J65" s="10" t="inlineStr">
        <is>
          <t>Run supabase/seed/demo_products_remove.sql in the SQL Editor (added 23 Oct for study and testing)</t>
        </is>
      </c>
    </row>
    <row r="66">
      <c r="A66" s="4" t="n">
        <v>8</v>
      </c>
      <c r="B66" s="5" t="inlineStr">
        <is>
          <t>Extra work (added on owner's request)</t>
        </is>
      </c>
      <c r="C66" s="6" t="inlineStr">
        <is>
          <t>8.1</t>
        </is>
      </c>
      <c r="D66" s="5" t="inlineStr">
        <is>
          <t>Brand header &amp; logo</t>
        </is>
      </c>
      <c r="E66" s="5" t="inlineStr">
        <is>
          <t>Basket logo with 'Red &amp; Green Basket' wordmark in logo colours on a white pill; green band with yellow rule</t>
        </is>
      </c>
      <c r="F66" s="7" t="inlineStr">
        <is>
          <t>Done</t>
        </is>
      </c>
      <c r="G66" s="8" t="n">
        <v>46317</v>
      </c>
      <c r="H66" s="8" t="n">
        <v>46317</v>
      </c>
      <c r="I66" s="9">
        <f>IF(AND(G66&lt;&gt;"",H66&lt;&gt;""),H66-G66+1,"")</f>
        <v/>
      </c>
      <c r="J66" s="10" t="inlineStr">
        <is>
          <t>22 Oct</t>
        </is>
      </c>
    </row>
    <row r="67">
      <c r="A67" s="4" t="n">
        <v>8</v>
      </c>
      <c r="B67" s="5" t="inlineStr">
        <is>
          <t>Extra work (added on owner's request)</t>
        </is>
      </c>
      <c r="C67" s="6" t="inlineStr">
        <is>
          <t>8.2</t>
        </is>
      </c>
      <c r="D67" s="5" t="inlineStr">
        <is>
          <t>Password eye &amp; confirm</t>
        </is>
      </c>
      <c r="E67" s="5" t="inlineStr">
        <is>
          <t>Show/hide password on every password box; confirm password on sign-up and reset</t>
        </is>
      </c>
      <c r="F67" s="7" t="inlineStr">
        <is>
          <t>Done</t>
        </is>
      </c>
      <c r="G67" s="8" t="n">
        <v>46317</v>
      </c>
      <c r="H67" s="8" t="n">
        <v>46317</v>
      </c>
      <c r="I67" s="9">
        <f>IF(AND(G67&lt;&gt;"",H67&lt;&gt;""),H67-G67+1,"")</f>
        <v/>
      </c>
      <c r="J67" s="10" t="inlineStr">
        <is>
          <t>22 Oct</t>
        </is>
      </c>
    </row>
    <row r="68">
      <c r="A68" s="4" t="n">
        <v>8</v>
      </c>
      <c r="B68" s="5" t="inlineStr">
        <is>
          <t>Extra work (added on owner's request)</t>
        </is>
      </c>
      <c r="C68" s="6" t="inlineStr">
        <is>
          <t>8.3</t>
        </is>
      </c>
      <c r="D68" s="5" t="inlineStr">
        <is>
          <t>Main menu editor</t>
        </is>
      </c>
      <c r="E68" s="5" t="inlineStr">
        <is>
          <t>Admin → Main menu: links, hot items, groups of categories (Electronics, Fashion)</t>
        </is>
      </c>
      <c r="F68" s="7" t="inlineStr">
        <is>
          <t>Done</t>
        </is>
      </c>
      <c r="G68" s="8" t="n">
        <v>46317</v>
      </c>
      <c r="H68" s="8" t="n">
        <v>46317</v>
      </c>
      <c r="I68" s="9">
        <f>IF(AND(G68&lt;&gt;"",H68&lt;&gt;""),H68-G68+1,"")</f>
        <v/>
      </c>
      <c r="J68" s="10" t="inlineStr">
        <is>
          <t>22 Oct (0016, 0017)</t>
        </is>
      </c>
    </row>
    <row r="69">
      <c r="A69" s="4" t="n">
        <v>8</v>
      </c>
      <c r="B69" s="5" t="inlineStr">
        <is>
          <t>Extra work (added on owner's request)</t>
        </is>
      </c>
      <c r="C69" s="6" t="inlineStr">
        <is>
          <t>8.4</t>
        </is>
      </c>
      <c r="D69" s="5" t="inlineStr">
        <is>
          <t>One-time seller Free / Featured</t>
        </is>
      </c>
      <c r="E69" s="5" t="inlineStr">
        <is>
          <t>sell.html: free listing (message only, phone hidden) or Featured (call, WhatsApp, email); enforced in the database</t>
        </is>
      </c>
      <c r="F69" s="7" t="inlineStr">
        <is>
          <t>Done</t>
        </is>
      </c>
      <c r="G69" s="8" t="n">
        <v>46317</v>
      </c>
      <c r="H69" s="8" t="n">
        <v>46317</v>
      </c>
      <c r="I69" s="9">
        <f>IF(AND(G69&lt;&gt;"",H69&lt;&gt;""),H69-G69+1,"")</f>
        <v/>
      </c>
      <c r="J69" s="10" t="inlineStr">
        <is>
          <t>22 Oct</t>
        </is>
      </c>
    </row>
    <row r="70">
      <c r="A70" s="4" t="n">
        <v>8</v>
      </c>
      <c r="B70" s="5" t="inlineStr">
        <is>
          <t>Extra work (added on owner's request)</t>
        </is>
      </c>
      <c r="C70" s="6" t="inlineStr">
        <is>
          <t>8.5</t>
        </is>
      </c>
      <c r="D70" s="5" t="inlineStr">
        <is>
          <t>Admin tools</t>
        </is>
      </c>
      <c r="E70" s="5" t="inlineStr">
        <is>
          <t>Admin adds products (RGBKart Official or a seller), gives Featured free, sets ad rates, books ads, reports with CSV</t>
        </is>
      </c>
      <c r="F70" s="7" t="inlineStr">
        <is>
          <t>Done</t>
        </is>
      </c>
      <c r="G70" s="8" t="n">
        <v>46317</v>
      </c>
      <c r="H70" s="8" t="n">
        <v>46317</v>
      </c>
      <c r="I70" s="9">
        <f>IF(AND(G70&lt;&gt;"",H70&lt;&gt;""),H70-G70+1,"")</f>
        <v/>
      </c>
      <c r="J70" s="10" t="inlineStr">
        <is>
          <t>22 Oct (0018)</t>
        </is>
      </c>
    </row>
    <row r="71">
      <c r="A71" s="4" t="n">
        <v>8</v>
      </c>
      <c r="B71" s="5" t="inlineStr">
        <is>
          <t>Extra work (added on owner's request)</t>
        </is>
      </c>
      <c r="C71" s="6" t="inlineStr">
        <is>
          <t>8.6</t>
        </is>
      </c>
      <c r="D71" s="5" t="inlineStr">
        <is>
          <t>Payments check</t>
        </is>
      </c>
      <c r="E71" s="5" t="inlineStr">
        <is>
          <t>bKash, Nagad, Upay, Rocket numbers; one TrxID can be used only once; admin verifies and Featured / ad starts</t>
        </is>
      </c>
      <c r="F71" s="7" t="inlineStr">
        <is>
          <t>Done</t>
        </is>
      </c>
      <c r="G71" s="8" t="n">
        <v>46317</v>
      </c>
      <c r="H71" s="8" t="n">
        <v>46317</v>
      </c>
      <c r="I71" s="9">
        <f>IF(AND(G71&lt;&gt;"",H71&lt;&gt;""),H71-G71+1,"")</f>
        <v/>
      </c>
      <c r="J71" s="10" t="inlineStr">
        <is>
          <t>22 Oct (0019)</t>
        </is>
      </c>
    </row>
    <row r="72">
      <c r="A72" s="4" t="n">
        <v>8</v>
      </c>
      <c r="B72" s="5" t="inlineStr">
        <is>
          <t>Extra work (added on owner's request)</t>
        </is>
      </c>
      <c r="C72" s="6" t="inlineStr">
        <is>
          <t>8.7</t>
        </is>
      </c>
      <c r="D72" s="5" t="inlineStr">
        <is>
          <t>Alerts page &amp; bell</t>
        </is>
      </c>
      <c r="E72" s="5" t="inlineStr">
        <is>
          <t>Alerts page, bell in header with unread count, email on/off switch (emails wait for 7.8)</t>
        </is>
      </c>
      <c r="F72" s="7" t="inlineStr">
        <is>
          <t>Done</t>
        </is>
      </c>
      <c r="G72" s="8" t="n">
        <v>46318</v>
      </c>
      <c r="H72" s="8" t="n">
        <v>46318</v>
      </c>
      <c r="I72" s="9">
        <f>IF(AND(G72&lt;&gt;"",H72&lt;&gt;""),H72-G72+1,"")</f>
        <v/>
      </c>
      <c r="J72" s="10" t="inlineStr">
        <is>
          <t>23 Oct (0021)</t>
        </is>
      </c>
    </row>
    <row r="73">
      <c r="A73" s="4" t="n">
        <v>8</v>
      </c>
      <c r="B73" s="5" t="inlineStr">
        <is>
          <t>Extra work (added on owner's request)</t>
        </is>
      </c>
      <c r="C73" s="6" t="inlineStr">
        <is>
          <t>8.8</t>
        </is>
      </c>
      <c r="D73" s="5" t="inlineStr">
        <is>
          <t>Language switch with flags</t>
        </is>
      </c>
      <c r="E73" s="5" t="inlineStr">
        <is>
          <t>Bangladesh / UK flag button in menu bar, footer, sign-in and sell pages</t>
        </is>
      </c>
      <c r="F73" s="7" t="inlineStr">
        <is>
          <t>Done</t>
        </is>
      </c>
      <c r="G73" s="8" t="n">
        <v>46318</v>
      </c>
      <c r="H73" s="8" t="n">
        <v>46318</v>
      </c>
      <c r="I73" s="9">
        <f>IF(AND(G73&lt;&gt;"",H73&lt;&gt;""),H73-G73+1,"")</f>
        <v/>
      </c>
      <c r="J73" s="10" t="inlineStr">
        <is>
          <t>23 Oct</t>
        </is>
      </c>
    </row>
    <row r="74">
      <c r="A74" s="4" t="n">
        <v>8</v>
      </c>
      <c r="B74" s="5" t="inlineStr">
        <is>
          <t>Extra work (added on owner's request)</t>
        </is>
      </c>
      <c r="C74" s="6" t="inlineStr">
        <is>
          <t>8.9</t>
        </is>
      </c>
      <c r="D74" s="5" t="inlineStr">
        <is>
          <t>Demo data for testing</t>
        </is>
      </c>
      <c r="E74" s="5" t="inlineStr">
        <is>
          <t>100 demo products (every case), 12 demo shops, demo home sections; remove before launch (7.9)</t>
        </is>
      </c>
      <c r="F74" s="7" t="inlineStr">
        <is>
          <t>Done</t>
        </is>
      </c>
      <c r="G74" s="8" t="n">
        <v>46318</v>
      </c>
      <c r="H74" s="8" t="n">
        <v>46318</v>
      </c>
      <c r="I74" s="9">
        <f>IF(AND(G74&lt;&gt;"",H74&lt;&gt;""),H74-G74+1,"")</f>
        <v/>
      </c>
      <c r="J74" s="10" t="inlineStr">
        <is>
          <t>23 Oct (supabase/seed)</t>
        </is>
      </c>
    </row>
    <row r="75">
      <c r="A75" s="4" t="n">
        <v>8</v>
      </c>
      <c r="B75" s="5" t="inlineStr">
        <is>
          <t>Extra work (added on owner's request)</t>
        </is>
      </c>
      <c r="C75" s="6" t="inlineStr">
        <is>
          <t>8.10</t>
        </is>
      </c>
      <c r="D75" s="5" t="inlineStr">
        <is>
          <t>Fixed header &amp; menu</t>
        </is>
      </c>
      <c r="E75" s="5" t="inlineStr">
        <is>
          <t>Header and main menu stay at the top while scrolling on every shop page</t>
        </is>
      </c>
      <c r="F75" s="7" t="inlineStr">
        <is>
          <t>Done</t>
        </is>
      </c>
      <c r="G75" s="8" t="n">
        <v>46318</v>
      </c>
      <c r="H75" s="8" t="n">
        <v>46318</v>
      </c>
      <c r="I75" s="9">
        <f>IF(AND(G75&lt;&gt;"",H75&lt;&gt;""),H75-G75+1,"")</f>
        <v/>
      </c>
      <c r="J75" s="10" t="inlineStr">
        <is>
          <t>23 Oct</t>
        </is>
      </c>
    </row>
    <row r="76">
      <c r="A76" s="4" t="n">
        <v>8</v>
      </c>
      <c r="B76" s="5" t="inlineStr">
        <is>
          <t>Extra work (added on owner's request)</t>
        </is>
      </c>
      <c r="C76" s="6" t="inlineStr">
        <is>
          <t>8.11</t>
        </is>
      </c>
      <c r="D76" s="5" t="inlineStr">
        <is>
          <t>Page numbers</t>
        </is>
      </c>
      <c r="E76" s="5" t="inlineStr">
        <is>
          <t>Previous / Next and page numbers on product lists and shop pages</t>
        </is>
      </c>
      <c r="F76" s="7" t="inlineStr">
        <is>
          <t>Done</t>
        </is>
      </c>
      <c r="G76" s="8" t="n">
        <v>46318</v>
      </c>
      <c r="H76" s="8" t="n">
        <v>46318</v>
      </c>
      <c r="I76" s="9">
        <f>IF(AND(G76&lt;&gt;"",H76&lt;&gt;""),H76-G76+1,"")</f>
        <v/>
      </c>
      <c r="J76" s="10" t="inlineStr">
        <is>
          <t>23 Oct</t>
        </is>
      </c>
    </row>
    <row r="77">
      <c r="A77" s="4" t="n">
        <v>8</v>
      </c>
      <c r="B77" s="5" t="inlineStr">
        <is>
          <t>Extra work (added on owner's request)</t>
        </is>
      </c>
      <c r="C77" s="6" t="inlineStr">
        <is>
          <t>8.12</t>
        </is>
      </c>
      <c r="D77" s="5" t="inlineStr">
        <is>
          <t>Pictures by admin</t>
        </is>
      </c>
      <c r="E77" s="5" t="inlineStr">
        <is>
          <t>Upload a picture per category; add, remove and re-order photos of any product</t>
        </is>
      </c>
      <c r="F77" s="7" t="inlineStr">
        <is>
          <t>Done</t>
        </is>
      </c>
      <c r="G77" s="8" t="n">
        <v>46318</v>
      </c>
      <c r="H77" s="8" t="n">
        <v>46318</v>
      </c>
      <c r="I77" s="9">
        <f>IF(AND(G77&lt;&gt;"",H77&lt;&gt;""),H77-G77+1,"")</f>
        <v/>
      </c>
      <c r="J77" s="10" t="inlineStr">
        <is>
          <t>23 Oct (0025)</t>
        </is>
      </c>
    </row>
    <row r="78">
      <c r="A78" s="4" t="n">
        <v>8</v>
      </c>
      <c r="B78" s="5" t="inlineStr">
        <is>
          <t>Extra work (added on owner's request)</t>
        </is>
      </c>
      <c r="C78" s="6" t="inlineStr">
        <is>
          <t>8.13</t>
        </is>
      </c>
      <c r="D78" s="5" t="inlineStr">
        <is>
          <t>Shop page look</t>
        </is>
      </c>
      <c r="E78" s="5" t="inlineStr">
        <is>
          <t>Picture icons in the category sidebar, light green sidebar, brand-coloured sub-category buttons</t>
        </is>
      </c>
      <c r="F78" s="7" t="inlineStr">
        <is>
          <t>Done</t>
        </is>
      </c>
      <c r="G78" s="8" t="n">
        <v>46318</v>
      </c>
      <c r="H78" s="8" t="n">
        <v>46318</v>
      </c>
      <c r="I78" s="9">
        <f>IF(AND(G78&lt;&gt;"",H78&lt;&gt;""),H78-G78+1,"")</f>
        <v/>
      </c>
      <c r="J78" s="10" t="inlineStr">
        <is>
          <t>23 Oct</t>
        </is>
      </c>
    </row>
    <row r="79">
      <c r="A79" s="4" t="n">
        <v>8</v>
      </c>
      <c r="B79" s="5" t="inlineStr">
        <is>
          <t>Extra work (added on owner's request)</t>
        </is>
      </c>
      <c r="C79" s="6" t="inlineStr">
        <is>
          <t>8.14</t>
        </is>
      </c>
      <c r="D79" s="5" t="inlineStr">
        <is>
          <t>Visit shop button</t>
        </is>
      </c>
      <c r="E79" s="5" t="inlineStr">
        <is>
          <t>Green 'Visit shop' button on the product page</t>
        </is>
      </c>
      <c r="F79" s="7" t="inlineStr">
        <is>
          <t>Done</t>
        </is>
      </c>
      <c r="G79" s="8" t="n">
        <v>46318</v>
      </c>
      <c r="H79" s="8" t="n">
        <v>46318</v>
      </c>
      <c r="I79" s="9">
        <f>IF(AND(G79&lt;&gt;"",H79&lt;&gt;""),H79-G79+1,"")</f>
        <v/>
      </c>
      <c r="J79" s="10" t="inlineStr">
        <is>
          <t>23 Oct</t>
        </is>
      </c>
    </row>
    <row r="80">
      <c r="A80" s="4" t="n">
        <v>8</v>
      </c>
      <c r="B80" s="5" t="inlineStr">
        <is>
          <t>Extra work (added on owner's request)</t>
        </is>
      </c>
      <c r="C80" s="6" t="inlineStr">
        <is>
          <t>8.15</t>
        </is>
      </c>
      <c r="D80" s="5" t="inlineStr">
        <is>
          <t>Top shops sliding row</t>
        </is>
      </c>
      <c r="E80" s="5" t="inlineStr">
        <is>
          <t>Home page row of shops (logo, banner, name, counts), glides continuously; admin sets movement, speed, direction</t>
        </is>
      </c>
      <c r="F80" s="7" t="inlineStr">
        <is>
          <t>Done</t>
        </is>
      </c>
      <c r="G80" s="8" t="n">
        <v>46318</v>
      </c>
      <c r="H80" s="8" t="n">
        <v>46318</v>
      </c>
      <c r="I80" s="9">
        <f>IF(AND(G80&lt;&gt;"",H80&lt;&gt;""),H80-G80+1,"")</f>
        <v/>
      </c>
      <c r="J80" s="10" t="inlineStr">
        <is>
          <t>23 Oct (0026, 0027)</t>
        </is>
      </c>
    </row>
    <row r="81">
      <c r="A81" s="4" t="n">
        <v>8</v>
      </c>
      <c r="B81" s="5" t="inlineStr">
        <is>
          <t>Extra work (added on owner's request)</t>
        </is>
      </c>
      <c r="C81" s="6" t="inlineStr">
        <is>
          <t>8.16</t>
        </is>
      </c>
      <c r="D81" s="5" t="inlineStr">
        <is>
          <t>More home section types</t>
        </is>
      </c>
      <c r="E81" s="5" t="inlineStr">
        <is>
          <t>Sections for products with options, brand new only, price negotiable</t>
        </is>
      </c>
      <c r="F81" s="7" t="inlineStr">
        <is>
          <t>Done</t>
        </is>
      </c>
      <c r="G81" s="8" t="n">
        <v>46318</v>
      </c>
      <c r="H81" s="8" t="n">
        <v>46318</v>
      </c>
      <c r="I81" s="9">
        <f>IF(AND(G81&lt;&gt;"",H81&lt;&gt;""),H81-G81+1,"")</f>
        <v/>
      </c>
      <c r="J81" s="10" t="inlineStr">
        <is>
          <t>23 Oct (0023)</t>
        </is>
      </c>
    </row>
    <row r="82">
      <c r="A82" s="4" t="n">
        <v>8</v>
      </c>
      <c r="B82" s="5" t="inlineStr">
        <is>
          <t>Extra work (added on owner's request)</t>
        </is>
      </c>
      <c r="C82" s="6" t="inlineStr">
        <is>
          <t>8.17</t>
        </is>
      </c>
      <c r="D82" s="5" t="inlineStr">
        <is>
          <t>Bulk prices at checkout</t>
        </is>
      </c>
      <c r="E82" s="5" t="inlineStr">
        <is>
          <t>'Buy more, pay less' prices now charged in the cart and the order (was only shown)</t>
        </is>
      </c>
      <c r="F82" s="7" t="inlineStr">
        <is>
          <t>Done</t>
        </is>
      </c>
      <c r="G82" s="8" t="n">
        <v>46318</v>
      </c>
      <c r="H82" s="8" t="n">
        <v>46318</v>
      </c>
      <c r="I82" s="9">
        <f>IF(AND(G82&lt;&gt;"",H82&lt;&gt;""),H82-G82+1,"")</f>
        <v/>
      </c>
      <c r="J82" s="10" t="inlineStr">
        <is>
          <t>23 Oct (0024)</t>
        </is>
      </c>
    </row>
    <row r="83">
      <c r="A83" s="4" t="n">
        <v>8</v>
      </c>
      <c r="B83" s="5" t="inlineStr">
        <is>
          <t>Extra work (added on owner's request)</t>
        </is>
      </c>
      <c r="C83" s="6" t="inlineStr">
        <is>
          <t>8.18</t>
        </is>
      </c>
      <c r="D83" s="5" t="inlineStr">
        <is>
          <t>Order printing for sellers</t>
        </is>
      </c>
      <c r="E83" s="5" t="inlineStr">
        <is>
          <t>Seller Center → Orders: print invoice, packing list, shipping label (one order or many ticked), Printer setup (paper, label size, copies, logo, barcode, note)</t>
        </is>
      </c>
      <c r="F83" s="7" t="inlineStr">
        <is>
          <t>Done</t>
        </is>
      </c>
      <c r="G83" s="8" t="n">
        <v>46318</v>
      </c>
      <c r="H83" s="8" t="n">
        <v>46318</v>
      </c>
      <c r="I83" s="9">
        <f>IF(AND(G83&lt;&gt;"",H83&lt;&gt;""),H83-G83+1,"")</f>
        <v/>
      </c>
      <c r="J83" s="10" t="inlineStr">
        <is>
          <t>23 Oct (no SQL)</t>
        </is>
      </c>
    </row>
  </sheetData>
  <autoFilter ref="A4:J83"/>
  <mergeCells count="1">
    <mergeCell ref="A2:J2"/>
  </mergeCells>
  <conditionalFormatting sqref="F5:F283">
    <cfRule type="expression" priority="1" dxfId="0">
      <formula>$F5="Done"</formula>
    </cfRule>
    <cfRule type="expression" priority="2" dxfId="1">
      <formula>$F5="In progress"</formula>
    </cfRule>
    <cfRule type="expression" priority="3" dxfId="2">
      <formula>$F5="Blocked"</formula>
    </cfRule>
    <cfRule type="expression" priority="4" dxfId="3">
      <formula>$F5="Not needed"</formula>
    </cfRule>
  </conditionalFormatting>
  <dataValidations count="2">
    <dataValidation sqref="F5:F283" showDropDown="0" showInputMessage="0" showErrorMessage="0" allowBlank="1" type="list">
      <formula1>"Not started,In progress,Blocked,Done,Not needed"</formula1>
    </dataValidation>
    <dataValidation sqref="G5:H283" showDropDown="0" showInputMessage="0" showErrorMessage="1" allowBlank="1" error="Enter a date, e.g. 22-Oct-2026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8" customWidth="1" min="4" max="4"/>
    <col width="11" customWidth="1" min="5" max="5"/>
    <col width="9" customWidth="1" min="6" max="6"/>
    <col width="11" customWidth="1" min="7" max="7"/>
    <col width="11" customWidth="1" min="8" max="8"/>
    <col width="13" customWidth="1" min="9" max="9"/>
    <col width="13" customWidth="1" min="10" max="10"/>
  </cols>
  <sheetData>
    <row r="1">
      <c r="A1" s="1" t="inlineStr">
        <is>
          <t>Progress by phase</t>
        </is>
      </c>
    </row>
    <row r="3">
      <c r="A3" s="3" t="inlineStr">
        <is>
          <t>Phase</t>
        </is>
      </c>
      <c r="B3" s="3" t="inlineStr">
        <is>
          <t>Phase name</t>
        </is>
      </c>
      <c r="C3" s="3" t="inlineStr">
        <is>
          <t>Sub-phases</t>
        </is>
      </c>
      <c r="D3" s="3" t="inlineStr">
        <is>
          <t>Done</t>
        </is>
      </c>
      <c r="E3" s="3" t="inlineStr">
        <is>
          <t>In progress</t>
        </is>
      </c>
      <c r="F3" s="3" t="inlineStr">
        <is>
          <t>Blocked</t>
        </is>
      </c>
      <c r="G3" s="3" t="inlineStr">
        <is>
          <t>Not started</t>
        </is>
      </c>
      <c r="H3" s="3" t="inlineStr">
        <is>
          <t>% complete</t>
        </is>
      </c>
      <c r="I3" s="3" t="inlineStr">
        <is>
          <t>First start</t>
        </is>
      </c>
      <c r="J3" s="3" t="inlineStr">
        <is>
          <t>Last end</t>
        </is>
      </c>
    </row>
    <row r="4">
      <c r="A4" s="15" t="n">
        <v>0</v>
      </c>
      <c r="B4" s="15" t="inlineStr">
        <is>
          <t>Foundation (accounts &amp; admin)</t>
        </is>
      </c>
      <c r="C4" s="15">
        <f>COUNTIF(Plan!$A$5:$A$283,A4)-COUNTIFS(Plan!$A$5:$A$283,A4,Plan!$F$5:$F$283,"Not needed")</f>
        <v/>
      </c>
      <c r="D4" s="15">
        <f>COUNTIFS(Plan!$A$5:$A$283,$A4,Plan!$F$5:$F$283,"Done")</f>
        <v/>
      </c>
      <c r="E4" s="15">
        <f>COUNTIFS(Plan!$A$5:$A$283,$A4,Plan!$F$5:$F$283,"In progress")</f>
        <v/>
      </c>
      <c r="F4" s="15">
        <f>COUNTIFS(Plan!$A$5:$A$283,$A4,Plan!$F$5:$F$283,"Blocked")</f>
        <v/>
      </c>
      <c r="G4" s="15">
        <f>C4-D4-E4-F4</f>
        <v/>
      </c>
      <c r="H4" s="16">
        <f>IF(C4=0,0,D4/C4)</f>
        <v/>
      </c>
      <c r="I4" s="17">
        <f>IF(_xlfn.MINIFS(Plan!$G$5:$G$283,Plan!$A$5:$A$283,A4)=0,"",_xlfn.MINIFS(Plan!$G$5:$G$283,Plan!$A$5:$A$283,A4))</f>
        <v/>
      </c>
      <c r="J4" s="17">
        <f>IF(_xlfn.MAXIFS(Plan!$H$5:$H$283,Plan!$A$5:$A$283,A4)=0,"",_xlfn.MAXIFS(Plan!$H$5:$H$283,Plan!$A$5:$A$283,A4))</f>
        <v/>
      </c>
    </row>
    <row r="5">
      <c r="A5" s="15" t="n">
        <v>1</v>
      </c>
      <c r="B5" s="15" t="inlineStr">
        <is>
          <t>Catalog &amp; Seller Products</t>
        </is>
      </c>
      <c r="C5" s="15">
        <f>COUNTIF(Plan!$A$5:$A$283,A5)-COUNTIFS(Plan!$A$5:$A$283,A5,Plan!$F$5:$F$283,"Not needed")</f>
        <v/>
      </c>
      <c r="D5" s="15">
        <f>COUNTIFS(Plan!$A$5:$A$283,$A5,Plan!$F$5:$F$283,"Done")</f>
        <v/>
      </c>
      <c r="E5" s="15">
        <f>COUNTIFS(Plan!$A$5:$A$283,$A5,Plan!$F$5:$F$283,"In progress")</f>
        <v/>
      </c>
      <c r="F5" s="15">
        <f>COUNTIFS(Plan!$A$5:$A$283,$A5,Plan!$F$5:$F$283,"Blocked")</f>
        <v/>
      </c>
      <c r="G5" s="15">
        <f>C5-D5-E5-F5</f>
        <v/>
      </c>
      <c r="H5" s="16">
        <f>IF(C5=0,0,D5/C5)</f>
        <v/>
      </c>
      <c r="I5" s="17">
        <f>IF(_xlfn.MINIFS(Plan!$G$5:$G$283,Plan!$A$5:$A$283,A5)=0,"",_xlfn.MINIFS(Plan!$G$5:$G$283,Plan!$A$5:$A$283,A5))</f>
        <v/>
      </c>
      <c r="J5" s="17">
        <f>IF(_xlfn.MAXIFS(Plan!$H$5:$H$283,Plan!$A$5:$A$283,A5)=0,"",_xlfn.MAXIFS(Plan!$H$5:$H$283,Plan!$A$5:$A$283,A5))</f>
        <v/>
      </c>
    </row>
    <row r="6">
      <c r="A6" s="15" t="n">
        <v>2</v>
      </c>
      <c r="B6" s="15" t="inlineStr">
        <is>
          <t>Customer Shopping</t>
        </is>
      </c>
      <c r="C6" s="15">
        <f>COUNTIF(Plan!$A$5:$A$283,A6)-COUNTIFS(Plan!$A$5:$A$283,A6,Plan!$F$5:$F$283,"Not needed")</f>
        <v/>
      </c>
      <c r="D6" s="15">
        <f>COUNTIFS(Plan!$A$5:$A$283,$A6,Plan!$F$5:$F$283,"Done")</f>
        <v/>
      </c>
      <c r="E6" s="15">
        <f>COUNTIFS(Plan!$A$5:$A$283,$A6,Plan!$F$5:$F$283,"In progress")</f>
        <v/>
      </c>
      <c r="F6" s="15">
        <f>COUNTIFS(Plan!$A$5:$A$283,$A6,Plan!$F$5:$F$283,"Blocked")</f>
        <v/>
      </c>
      <c r="G6" s="15">
        <f>C6-D6-E6-F6</f>
        <v/>
      </c>
      <c r="H6" s="16">
        <f>IF(C6=0,0,D6/C6)</f>
        <v/>
      </c>
      <c r="I6" s="17">
        <f>IF(_xlfn.MINIFS(Plan!$G$5:$G$283,Plan!$A$5:$A$283,A6)=0,"",_xlfn.MINIFS(Plan!$G$5:$G$283,Plan!$A$5:$A$283,A6))</f>
        <v/>
      </c>
      <c r="J6" s="17">
        <f>IF(_xlfn.MAXIFS(Plan!$H$5:$H$283,Plan!$A$5:$A$283,A6)=0,"",_xlfn.MAXIFS(Plan!$H$5:$H$283,Plan!$A$5:$A$283,A6))</f>
        <v/>
      </c>
    </row>
    <row r="7">
      <c r="A7" s="15" t="n">
        <v>3</v>
      </c>
      <c r="B7" s="15" t="inlineStr">
        <is>
          <t>Checkout &amp; Payments</t>
        </is>
      </c>
      <c r="C7" s="15">
        <f>COUNTIF(Plan!$A$5:$A$283,A7)-COUNTIFS(Plan!$A$5:$A$283,A7,Plan!$F$5:$F$283,"Not needed")</f>
        <v/>
      </c>
      <c r="D7" s="15">
        <f>COUNTIFS(Plan!$A$5:$A$283,$A7,Plan!$F$5:$F$283,"Done")</f>
        <v/>
      </c>
      <c r="E7" s="15">
        <f>COUNTIFS(Plan!$A$5:$A$283,$A7,Plan!$F$5:$F$283,"In progress")</f>
        <v/>
      </c>
      <c r="F7" s="15">
        <f>COUNTIFS(Plan!$A$5:$A$283,$A7,Plan!$F$5:$F$283,"Blocked")</f>
        <v/>
      </c>
      <c r="G7" s="15">
        <f>C7-D7-E7-F7</f>
        <v/>
      </c>
      <c r="H7" s="16">
        <f>IF(C7=0,0,D7/C7)</f>
        <v/>
      </c>
      <c r="I7" s="17">
        <f>IF(_xlfn.MINIFS(Plan!$G$5:$G$283,Plan!$A$5:$A$283,A7)=0,"",_xlfn.MINIFS(Plan!$G$5:$G$283,Plan!$A$5:$A$283,A7))</f>
        <v/>
      </c>
      <c r="J7" s="17">
        <f>IF(_xlfn.MAXIFS(Plan!$H$5:$H$283,Plan!$A$5:$A$283,A7)=0,"",_xlfn.MAXIFS(Plan!$H$5:$H$283,Plan!$A$5:$A$283,A7))</f>
        <v/>
      </c>
    </row>
    <row r="8">
      <c r="A8" s="15" t="n">
        <v>4</v>
      </c>
      <c r="B8" s="15" t="inlineStr">
        <is>
          <t>Orders &amp; Delivery</t>
        </is>
      </c>
      <c r="C8" s="15">
        <f>COUNTIF(Plan!$A$5:$A$283,A8)-COUNTIFS(Plan!$A$5:$A$283,A8,Plan!$F$5:$F$283,"Not needed")</f>
        <v/>
      </c>
      <c r="D8" s="15">
        <f>COUNTIFS(Plan!$A$5:$A$283,$A8,Plan!$F$5:$F$283,"Done")</f>
        <v/>
      </c>
      <c r="E8" s="15">
        <f>COUNTIFS(Plan!$A$5:$A$283,$A8,Plan!$F$5:$F$283,"In progress")</f>
        <v/>
      </c>
      <c r="F8" s="15">
        <f>COUNTIFS(Plan!$A$5:$A$283,$A8,Plan!$F$5:$F$283,"Blocked")</f>
        <v/>
      </c>
      <c r="G8" s="15">
        <f>C8-D8-E8-F8</f>
        <v/>
      </c>
      <c r="H8" s="16">
        <f>IF(C8=0,0,D8/C8)</f>
        <v/>
      </c>
      <c r="I8" s="17">
        <f>IF(_xlfn.MINIFS(Plan!$G$5:$G$283,Plan!$A$5:$A$283,A8)=0,"",_xlfn.MINIFS(Plan!$G$5:$G$283,Plan!$A$5:$A$283,A8))</f>
        <v/>
      </c>
      <c r="J8" s="17">
        <f>IF(_xlfn.MAXIFS(Plan!$H$5:$H$283,Plan!$A$5:$A$283,A8)=0,"",_xlfn.MAXIFS(Plan!$H$5:$H$283,Plan!$A$5:$A$283,A8))</f>
        <v/>
      </c>
    </row>
    <row r="9">
      <c r="A9" s="15" t="n">
        <v>5</v>
      </c>
      <c r="B9" s="15" t="inlineStr">
        <is>
          <t>Money: Payouts, Promotions &amp; Admin</t>
        </is>
      </c>
      <c r="C9" s="15">
        <f>COUNTIF(Plan!$A$5:$A$283,A9)-COUNTIFS(Plan!$A$5:$A$283,A9,Plan!$F$5:$F$283,"Not needed")</f>
        <v/>
      </c>
      <c r="D9" s="15">
        <f>COUNTIFS(Plan!$A$5:$A$283,$A9,Plan!$F$5:$F$283,"Done")</f>
        <v/>
      </c>
      <c r="E9" s="15">
        <f>COUNTIFS(Plan!$A$5:$A$283,$A9,Plan!$F$5:$F$283,"In progress")</f>
        <v/>
      </c>
      <c r="F9" s="15">
        <f>COUNTIFS(Plan!$A$5:$A$283,$A9,Plan!$F$5:$F$283,"Blocked")</f>
        <v/>
      </c>
      <c r="G9" s="15">
        <f>C9-D9-E9-F9</f>
        <v/>
      </c>
      <c r="H9" s="16">
        <f>IF(C9=0,0,D9/C9)</f>
        <v/>
      </c>
      <c r="I9" s="17">
        <f>IF(_xlfn.MINIFS(Plan!$G$5:$G$283,Plan!$A$5:$A$283,A9)=0,"",_xlfn.MINIFS(Plan!$G$5:$G$283,Plan!$A$5:$A$283,A9))</f>
        <v/>
      </c>
      <c r="J9" s="17">
        <f>IF(_xlfn.MAXIFS(Plan!$H$5:$H$283,Plan!$A$5:$A$283,A9)=0,"",_xlfn.MAXIFS(Plan!$H$5:$H$283,Plan!$A$5:$A$283,A9))</f>
        <v/>
      </c>
    </row>
    <row r="10">
      <c r="A10" s="15" t="n">
        <v>6</v>
      </c>
      <c r="B10" s="15" t="inlineStr">
        <is>
          <t>Reviews, Notifications &amp; Trust</t>
        </is>
      </c>
      <c r="C10" s="15">
        <f>COUNTIF(Plan!$A$5:$A$283,A10)-COUNTIFS(Plan!$A$5:$A$283,A10,Plan!$F$5:$F$283,"Not needed")</f>
        <v/>
      </c>
      <c r="D10" s="15">
        <f>COUNTIFS(Plan!$A$5:$A$283,$A10,Plan!$F$5:$F$283,"Done")</f>
        <v/>
      </c>
      <c r="E10" s="15">
        <f>COUNTIFS(Plan!$A$5:$A$283,$A10,Plan!$F$5:$F$283,"In progress")</f>
        <v/>
      </c>
      <c r="F10" s="15">
        <f>COUNTIFS(Plan!$A$5:$A$283,$A10,Plan!$F$5:$F$283,"Blocked")</f>
        <v/>
      </c>
      <c r="G10" s="15">
        <f>C10-D10-E10-F10</f>
        <v/>
      </c>
      <c r="H10" s="16">
        <f>IF(C10=0,0,D10/C10)</f>
        <v/>
      </c>
      <c r="I10" s="17">
        <f>IF(_xlfn.MINIFS(Plan!$G$5:$G$283,Plan!$A$5:$A$283,A10)=0,"",_xlfn.MINIFS(Plan!$G$5:$G$283,Plan!$A$5:$A$283,A10))</f>
        <v/>
      </c>
      <c r="J10" s="17">
        <f>IF(_xlfn.MAXIFS(Plan!$H$5:$H$283,Plan!$A$5:$A$283,A10)=0,"",_xlfn.MAXIFS(Plan!$H$5:$H$283,Plan!$A$5:$A$283,A10))</f>
        <v/>
      </c>
    </row>
    <row r="11">
      <c r="A11" s="15" t="n">
        <v>7</v>
      </c>
      <c r="B11" s="15" t="inlineStr">
        <is>
          <t>Launch</t>
        </is>
      </c>
      <c r="C11" s="15">
        <f>COUNTIF(Plan!$A$5:$A$283,A11)-COUNTIFS(Plan!$A$5:$A$283,A11,Plan!$F$5:$F$283,"Not needed")</f>
        <v/>
      </c>
      <c r="D11" s="15">
        <f>COUNTIFS(Plan!$A$5:$A$283,$A11,Plan!$F$5:$F$283,"Done")</f>
        <v/>
      </c>
      <c r="E11" s="15">
        <f>COUNTIFS(Plan!$A$5:$A$283,$A11,Plan!$F$5:$F$283,"In progress")</f>
        <v/>
      </c>
      <c r="F11" s="15">
        <f>COUNTIFS(Plan!$A$5:$A$283,$A11,Plan!$F$5:$F$283,"Blocked")</f>
        <v/>
      </c>
      <c r="G11" s="15">
        <f>C11-D11-E11-F11</f>
        <v/>
      </c>
      <c r="H11" s="16">
        <f>IF(C11=0,0,D11/C11)</f>
        <v/>
      </c>
      <c r="I11" s="17">
        <f>IF(_xlfn.MINIFS(Plan!$G$5:$G$283,Plan!$A$5:$A$283,A11)=0,"",_xlfn.MINIFS(Plan!$G$5:$G$283,Plan!$A$5:$A$283,A11))</f>
        <v/>
      </c>
      <c r="J11" s="17">
        <f>IF(_xlfn.MAXIFS(Plan!$H$5:$H$283,Plan!$A$5:$A$283,A11)=0,"",_xlfn.MAXIFS(Plan!$H$5:$H$283,Plan!$A$5:$A$283,A11))</f>
        <v/>
      </c>
    </row>
    <row r="12">
      <c r="A12" s="15" t="n">
        <v>8</v>
      </c>
      <c r="B12" s="15" t="inlineStr">
        <is>
          <t>Extra work (added on owner's request)</t>
        </is>
      </c>
      <c r="C12" s="15">
        <f>COUNTIF(Plan!$A$5:$A$283,A12)-COUNTIFS(Plan!$A$5:$A$283,A12,Plan!$F$5:$F$283,"Not needed")</f>
        <v/>
      </c>
      <c r="D12" s="15">
        <f>COUNTIFS(Plan!$A$5:$A$283,$A12,Plan!$F$5:$F$283,"Done")</f>
        <v/>
      </c>
      <c r="E12" s="15">
        <f>COUNTIFS(Plan!$A$5:$A$283,$A12,Plan!$F$5:$F$283,"In progress")</f>
        <v/>
      </c>
      <c r="F12" s="15">
        <f>COUNTIFS(Plan!$A$5:$A$283,$A12,Plan!$F$5:$F$283,"Blocked")</f>
        <v/>
      </c>
      <c r="G12" s="15">
        <f>C12-D12-E12-F12</f>
        <v/>
      </c>
      <c r="H12" s="16">
        <f>IF(C12=0,0,D12/C12)</f>
        <v/>
      </c>
      <c r="I12" s="17">
        <f>IF(_xlfn.MINIFS(Plan!$G$5:$G$283,Plan!$A$5:$A$283,A12)=0,"",_xlfn.MINIFS(Plan!$G$5:$G$283,Plan!$A$5:$A$283,A12))</f>
        <v/>
      </c>
      <c r="J12" s="17">
        <f>IF(_xlfn.MAXIFS(Plan!$H$5:$H$283,Plan!$A$5:$A$283,A12)=0,"",_xlfn.MAXIFS(Plan!$H$5:$H$283,Plan!$A$5:$A$283,A12))</f>
        <v/>
      </c>
    </row>
    <row r="13">
      <c r="A13" s="18" t="n"/>
      <c r="B13" s="18" t="inlineStr">
        <is>
          <t>All phases</t>
        </is>
      </c>
      <c r="C13" s="18">
        <f>SUM(C4:C12)</f>
        <v/>
      </c>
      <c r="D13" s="18">
        <f>SUM(D4:D12)</f>
        <v/>
      </c>
      <c r="E13" s="18">
        <f>SUM(E4:E12)</f>
        <v/>
      </c>
      <c r="F13" s="18">
        <f>SUM(F4:F12)</f>
        <v/>
      </c>
      <c r="G13" s="18">
        <f>SUM(G4:G12)</f>
        <v/>
      </c>
      <c r="H13" s="19">
        <f>IF(C13=0,0,D13/C13)</f>
        <v/>
      </c>
      <c r="I13" s="18" t="n"/>
      <c r="J13" s="18" t="n"/>
    </row>
    <row r="15">
      <c r="A15" s="2" t="inlineStr">
        <is>
          <t>Counts and dates come from the Plan tab. Status values: Not started, In progress, Blocked, Done, Not needed (left out of the counts).</t>
        </is>
      </c>
    </row>
  </sheetData>
  <conditionalFormatting sqref="H4:H13">
    <cfRule type="dataBar" priority="1">
      <dataBar>
        <cfvo type="num" val="0"/>
        <cfvo type="num" val="1"/>
        <color rgb="004FBF93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2026-10-23T07:14:50Z</dcterms:created>
  <dcterms:modified xmlns:dcterms="http://purl.org/dc/terms/" xmlns:xsi="http://www.w3.org/2001/XMLSchema-instance" xsi:type="dcterms:W3CDTF">2026-10-23T07:14:50Z</dcterms:modified>
</cp:coreProperties>
</file>