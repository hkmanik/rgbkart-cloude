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'Plan'!$A$4:$J$88</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Done</t>
        </is>
      </c>
      <c r="G57" s="8" t="n">
        <v>46318</v>
      </c>
      <c r="H57" s="8" t="n">
        <v>46318</v>
      </c>
      <c r="I57" s="14">
        <f>IF(AND(G57&lt;&gt;"",H57&lt;&gt;""),H57-G57+1,"")</f>
        <v/>
      </c>
      <c r="J57" s="10" t="inlineStr">
        <is>
          <t>23 Oct: live at https://rgbkart.com (renewed to 14 Aug 2027, auto-renewal on). Old WordPress removed (mailboxes kept); new PHP/HTML website with SSL; GitHub uploads there (FTP u456241157.deploy, SITE_URL); Supabase Site URL updated; rgbkartdemo.hkmanik.com forwards to rgbkart.com; www forwards to rgbkart.com</t>
        </is>
      </c>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8" t="n">
        <v>46318</v>
      </c>
      <c r="H61" s="8"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Waits for 7.1 (rgbkart.com live). Then: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8" t="n">
        <v>46318</v>
      </c>
      <c r="H84" s="8"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8" t="n">
        <v>46318</v>
      </c>
      <c r="H85" s="8"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8" t="n">
        <v>46318</v>
      </c>
      <c r="H86" s="8"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8" t="n">
        <v>46318</v>
      </c>
      <c r="H87" s="8"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8" t="n">
        <v>46318</v>
      </c>
      <c r="H88" s="8" t="n">
        <v>46318</v>
      </c>
      <c r="I88" s="9">
        <f>IF(AND(G88&lt;&gt;"",H88&lt;&gt;""),H88-G88+1,"")</f>
        <v/>
      </c>
      <c r="J88" s="10" t="inlineStr">
        <is>
          <t>23 Oct (see 5.10)</t>
        </is>
      </c>
    </row>
  </sheetData>
  <autoFilter ref="A4:J88"/>
  <mergeCells count="1">
    <mergeCell ref="A2:J2"/>
  </mergeCells>
  <conditionalFormatting sqref="F5:F288">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8" showDropDown="0" showInputMessage="0" showErrorMessage="0" allowBlank="1" type="list">
      <formula1>"Not started,In progress,Blocked,Done,Not needed"</formula1>
    </dataValidation>
    <dataValidation sqref="G5:H288"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COUNTIF(Plan!$A$5:$A$288,A4)-COUNTIFS(Plan!$A$5:$A$288,A4,Plan!$F$5:$F$288,"Not needed")</f>
        <v/>
      </c>
      <c r="D4" s="15">
        <f>COUNTIFS(Plan!$A$5:$A$288,$A4,Plan!$F$5:$F$288,"Done")</f>
        <v/>
      </c>
      <c r="E4" s="15">
        <f>COUNTIFS(Plan!$A$5:$A$288,$A4,Plan!$F$5:$F$288,"In progress")</f>
        <v/>
      </c>
      <c r="F4" s="15">
        <f>COUNTIFS(Plan!$A$5:$A$288,$A4,Plan!$F$5:$F$288,"Blocked")</f>
        <v/>
      </c>
      <c r="G4" s="15">
        <f>C4-D4-E4-F4</f>
        <v/>
      </c>
      <c r="H4" s="16">
        <f>IF(C4=0,0,D4/C4)</f>
        <v/>
      </c>
      <c r="I4" s="17">
        <f>IF(_xlfn.MINIFS(Plan!$G$5:$G$288,Plan!$A$5:$A$288,A4)=0,"",_xlfn.MINIFS(Plan!$G$5:$G$288,Plan!$A$5:$A$288,A4))</f>
        <v/>
      </c>
      <c r="J4" s="17">
        <f>IF(_xlfn.MAXIFS(Plan!$H$5:$H$288,Plan!$A$5:$A$288,A4)=0,"",_xlfn.MAXIFS(Plan!$H$5:$H$288,Plan!$A$5:$A$288,A4))</f>
        <v/>
      </c>
    </row>
    <row r="5">
      <c r="A5" s="15" t="n">
        <v>1</v>
      </c>
      <c r="B5" s="15" t="inlineStr">
        <is>
          <t>Catalog &amp; Seller Products</t>
        </is>
      </c>
      <c r="C5" s="15">
        <f>COUNTIF(Plan!$A$5:$A$288,A5)-COUNTIFS(Plan!$A$5:$A$288,A5,Plan!$F$5:$F$288,"Not needed")</f>
        <v/>
      </c>
      <c r="D5" s="15">
        <f>COUNTIFS(Plan!$A$5:$A$288,$A5,Plan!$F$5:$F$288,"Done")</f>
        <v/>
      </c>
      <c r="E5" s="15">
        <f>COUNTIFS(Plan!$A$5:$A$288,$A5,Plan!$F$5:$F$288,"In progress")</f>
        <v/>
      </c>
      <c r="F5" s="15">
        <f>COUNTIFS(Plan!$A$5:$A$288,$A5,Plan!$F$5:$F$288,"Blocked")</f>
        <v/>
      </c>
      <c r="G5" s="15">
        <f>C5-D5-E5-F5</f>
        <v/>
      </c>
      <c r="H5" s="16">
        <f>IF(C5=0,0,D5/C5)</f>
        <v/>
      </c>
      <c r="I5" s="17">
        <f>IF(_xlfn.MINIFS(Plan!$G$5:$G$288,Plan!$A$5:$A$288,A5)=0,"",_xlfn.MINIFS(Plan!$G$5:$G$288,Plan!$A$5:$A$288,A5))</f>
        <v/>
      </c>
      <c r="J5" s="17">
        <f>IF(_xlfn.MAXIFS(Plan!$H$5:$H$288,Plan!$A$5:$A$288,A5)=0,"",_xlfn.MAXIFS(Plan!$H$5:$H$288,Plan!$A$5:$A$288,A5))</f>
        <v/>
      </c>
    </row>
    <row r="6">
      <c r="A6" s="15" t="n">
        <v>2</v>
      </c>
      <c r="B6" s="15" t="inlineStr">
        <is>
          <t>Customer Shopping</t>
        </is>
      </c>
      <c r="C6" s="15">
        <f>COUNTIF(Plan!$A$5:$A$288,A6)-COUNTIFS(Plan!$A$5:$A$288,A6,Plan!$F$5:$F$288,"Not needed")</f>
        <v/>
      </c>
      <c r="D6" s="15">
        <f>COUNTIFS(Plan!$A$5:$A$288,$A6,Plan!$F$5:$F$288,"Done")</f>
        <v/>
      </c>
      <c r="E6" s="15">
        <f>COUNTIFS(Plan!$A$5:$A$288,$A6,Plan!$F$5:$F$288,"In progress")</f>
        <v/>
      </c>
      <c r="F6" s="15">
        <f>COUNTIFS(Plan!$A$5:$A$288,$A6,Plan!$F$5:$F$288,"Blocked")</f>
        <v/>
      </c>
      <c r="G6" s="15">
        <f>C6-D6-E6-F6</f>
        <v/>
      </c>
      <c r="H6" s="16">
        <f>IF(C6=0,0,D6/C6)</f>
        <v/>
      </c>
      <c r="I6" s="17">
        <f>IF(_xlfn.MINIFS(Plan!$G$5:$G$288,Plan!$A$5:$A$288,A6)=0,"",_xlfn.MINIFS(Plan!$G$5:$G$288,Plan!$A$5:$A$288,A6))</f>
        <v/>
      </c>
      <c r="J6" s="17">
        <f>IF(_xlfn.MAXIFS(Plan!$H$5:$H$288,Plan!$A$5:$A$288,A6)=0,"",_xlfn.MAXIFS(Plan!$H$5:$H$288,Plan!$A$5:$A$288,A6))</f>
        <v/>
      </c>
    </row>
    <row r="7">
      <c r="A7" s="15" t="n">
        <v>3</v>
      </c>
      <c r="B7" s="15" t="inlineStr">
        <is>
          <t>Checkout &amp; Payments</t>
        </is>
      </c>
      <c r="C7" s="15">
        <f>COUNTIF(Plan!$A$5:$A$288,A7)-COUNTIFS(Plan!$A$5:$A$288,A7,Plan!$F$5:$F$288,"Not needed")</f>
        <v/>
      </c>
      <c r="D7" s="15">
        <f>COUNTIFS(Plan!$A$5:$A$288,$A7,Plan!$F$5:$F$288,"Done")</f>
        <v/>
      </c>
      <c r="E7" s="15">
        <f>COUNTIFS(Plan!$A$5:$A$288,$A7,Plan!$F$5:$F$288,"In progress")</f>
        <v/>
      </c>
      <c r="F7" s="15">
        <f>COUNTIFS(Plan!$A$5:$A$288,$A7,Plan!$F$5:$F$288,"Blocked")</f>
        <v/>
      </c>
      <c r="G7" s="15">
        <f>C7-D7-E7-F7</f>
        <v/>
      </c>
      <c r="H7" s="16">
        <f>IF(C7=0,0,D7/C7)</f>
        <v/>
      </c>
      <c r="I7" s="17">
        <f>IF(_xlfn.MINIFS(Plan!$G$5:$G$288,Plan!$A$5:$A$288,A7)=0,"",_xlfn.MINIFS(Plan!$G$5:$G$288,Plan!$A$5:$A$288,A7))</f>
        <v/>
      </c>
      <c r="J7" s="17">
        <f>IF(_xlfn.MAXIFS(Plan!$H$5:$H$288,Plan!$A$5:$A$288,A7)=0,"",_xlfn.MAXIFS(Plan!$H$5:$H$288,Plan!$A$5:$A$288,A7))</f>
        <v/>
      </c>
    </row>
    <row r="8">
      <c r="A8" s="15" t="n">
        <v>4</v>
      </c>
      <c r="B8" s="15" t="inlineStr">
        <is>
          <t>Orders &amp; Delivery</t>
        </is>
      </c>
      <c r="C8" s="15">
        <f>COUNTIF(Plan!$A$5:$A$288,A8)-COUNTIFS(Plan!$A$5:$A$288,A8,Plan!$F$5:$F$288,"Not needed")</f>
        <v/>
      </c>
      <c r="D8" s="15">
        <f>COUNTIFS(Plan!$A$5:$A$288,$A8,Plan!$F$5:$F$288,"Done")</f>
        <v/>
      </c>
      <c r="E8" s="15">
        <f>COUNTIFS(Plan!$A$5:$A$288,$A8,Plan!$F$5:$F$288,"In progress")</f>
        <v/>
      </c>
      <c r="F8" s="15">
        <f>COUNTIFS(Plan!$A$5:$A$288,$A8,Plan!$F$5:$F$288,"Blocked")</f>
        <v/>
      </c>
      <c r="G8" s="15">
        <f>C8-D8-E8-F8</f>
        <v/>
      </c>
      <c r="H8" s="16">
        <f>IF(C8=0,0,D8/C8)</f>
        <v/>
      </c>
      <c r="I8" s="17">
        <f>IF(_xlfn.MINIFS(Plan!$G$5:$G$288,Plan!$A$5:$A$288,A8)=0,"",_xlfn.MINIFS(Plan!$G$5:$G$288,Plan!$A$5:$A$288,A8))</f>
        <v/>
      </c>
      <c r="J8" s="17">
        <f>IF(_xlfn.MAXIFS(Plan!$H$5:$H$288,Plan!$A$5:$A$288,A8)=0,"",_xlfn.MAXIFS(Plan!$H$5:$H$288,Plan!$A$5:$A$288,A8))</f>
        <v/>
      </c>
    </row>
    <row r="9">
      <c r="A9" s="15" t="n">
        <v>5</v>
      </c>
      <c r="B9" s="15" t="inlineStr">
        <is>
          <t>Money: Payouts, Promotions &amp; Admin</t>
        </is>
      </c>
      <c r="C9" s="15">
        <f>COUNTIF(Plan!$A$5:$A$288,A9)-COUNTIFS(Plan!$A$5:$A$288,A9,Plan!$F$5:$F$288,"Not needed")</f>
        <v/>
      </c>
      <c r="D9" s="15">
        <f>COUNTIFS(Plan!$A$5:$A$288,$A9,Plan!$F$5:$F$288,"Done")</f>
        <v/>
      </c>
      <c r="E9" s="15">
        <f>COUNTIFS(Plan!$A$5:$A$288,$A9,Plan!$F$5:$F$288,"In progress")</f>
        <v/>
      </c>
      <c r="F9" s="15">
        <f>COUNTIFS(Plan!$A$5:$A$288,$A9,Plan!$F$5:$F$288,"Blocked")</f>
        <v/>
      </c>
      <c r="G9" s="15">
        <f>C9-D9-E9-F9</f>
        <v/>
      </c>
      <c r="H9" s="16">
        <f>IF(C9=0,0,D9/C9)</f>
        <v/>
      </c>
      <c r="I9" s="17">
        <f>IF(_xlfn.MINIFS(Plan!$G$5:$G$288,Plan!$A$5:$A$288,A9)=0,"",_xlfn.MINIFS(Plan!$G$5:$G$288,Plan!$A$5:$A$288,A9))</f>
        <v/>
      </c>
      <c r="J9" s="17">
        <f>IF(_xlfn.MAXIFS(Plan!$H$5:$H$288,Plan!$A$5:$A$288,A9)=0,"",_xlfn.MAXIFS(Plan!$H$5:$H$288,Plan!$A$5:$A$288,A9))</f>
        <v/>
      </c>
    </row>
    <row r="10">
      <c r="A10" s="15" t="n">
        <v>6</v>
      </c>
      <c r="B10" s="15" t="inlineStr">
        <is>
          <t>Reviews, Notifications &amp; Trust</t>
        </is>
      </c>
      <c r="C10" s="15">
        <f>COUNTIF(Plan!$A$5:$A$288,A10)-COUNTIFS(Plan!$A$5:$A$288,A10,Plan!$F$5:$F$288,"Not needed")</f>
        <v/>
      </c>
      <c r="D10" s="15">
        <f>COUNTIFS(Plan!$A$5:$A$288,$A10,Plan!$F$5:$F$288,"Done")</f>
        <v/>
      </c>
      <c r="E10" s="15">
        <f>COUNTIFS(Plan!$A$5:$A$288,$A10,Plan!$F$5:$F$288,"In progress")</f>
        <v/>
      </c>
      <c r="F10" s="15">
        <f>COUNTIFS(Plan!$A$5:$A$288,$A10,Plan!$F$5:$F$288,"Blocked")</f>
        <v/>
      </c>
      <c r="G10" s="15">
        <f>C10-D10-E10-F10</f>
        <v/>
      </c>
      <c r="H10" s="16">
        <f>IF(C10=0,0,D10/C10)</f>
        <v/>
      </c>
      <c r="I10" s="17">
        <f>IF(_xlfn.MINIFS(Plan!$G$5:$G$288,Plan!$A$5:$A$288,A10)=0,"",_xlfn.MINIFS(Plan!$G$5:$G$288,Plan!$A$5:$A$288,A10))</f>
        <v/>
      </c>
      <c r="J10" s="17">
        <f>IF(_xlfn.MAXIFS(Plan!$H$5:$H$288,Plan!$A$5:$A$288,A10)=0,"",_xlfn.MAXIFS(Plan!$H$5:$H$288,Plan!$A$5:$A$288,A10))</f>
        <v/>
      </c>
    </row>
    <row r="11">
      <c r="A11" s="15" t="n">
        <v>7</v>
      </c>
      <c r="B11" s="15" t="inlineStr">
        <is>
          <t>Launch</t>
        </is>
      </c>
      <c r="C11" s="15">
        <f>COUNTIF(Plan!$A$5:$A$288,A11)-COUNTIFS(Plan!$A$5:$A$288,A11,Plan!$F$5:$F$288,"Not needed")</f>
        <v/>
      </c>
      <c r="D11" s="15">
        <f>COUNTIFS(Plan!$A$5:$A$288,$A11,Plan!$F$5:$F$288,"Done")</f>
        <v/>
      </c>
      <c r="E11" s="15">
        <f>COUNTIFS(Plan!$A$5:$A$288,$A11,Plan!$F$5:$F$288,"In progress")</f>
        <v/>
      </c>
      <c r="F11" s="15">
        <f>COUNTIFS(Plan!$A$5:$A$288,$A11,Plan!$F$5:$F$288,"Blocked")</f>
        <v/>
      </c>
      <c r="G11" s="15">
        <f>C11-D11-E11-F11</f>
        <v/>
      </c>
      <c r="H11" s="16">
        <f>IF(C11=0,0,D11/C11)</f>
        <v/>
      </c>
      <c r="I11" s="17">
        <f>IF(_xlfn.MINIFS(Plan!$G$5:$G$288,Plan!$A$5:$A$288,A11)=0,"",_xlfn.MINIFS(Plan!$G$5:$G$288,Plan!$A$5:$A$288,A11))</f>
        <v/>
      </c>
      <c r="J11" s="17">
        <f>IF(_xlfn.MAXIFS(Plan!$H$5:$H$288,Plan!$A$5:$A$288,A11)=0,"",_xlfn.MAXIFS(Plan!$H$5:$H$288,Plan!$A$5:$A$288,A11))</f>
        <v/>
      </c>
    </row>
    <row r="12">
      <c r="A12" s="15" t="n">
        <v>8</v>
      </c>
      <c r="B12" s="15" t="inlineStr">
        <is>
          <t>Extra work (added on owner's request)</t>
        </is>
      </c>
      <c r="C12" s="15">
        <f>COUNTIF(Plan!$A$5:$A$288,A12)-COUNTIFS(Plan!$A$5:$A$288,A12,Plan!$F$5:$F$288,"Not needed")</f>
        <v/>
      </c>
      <c r="D12" s="15">
        <f>COUNTIFS(Plan!$A$5:$A$288,$A12,Plan!$F$5:$F$288,"Done")</f>
        <v/>
      </c>
      <c r="E12" s="15">
        <f>COUNTIFS(Plan!$A$5:$A$288,$A12,Plan!$F$5:$F$288,"In progress")</f>
        <v/>
      </c>
      <c r="F12" s="15">
        <f>COUNTIFS(Plan!$A$5:$A$288,$A12,Plan!$F$5:$F$288,"Blocked")</f>
        <v/>
      </c>
      <c r="G12" s="15">
        <f>C12-D12-E12-F12</f>
        <v/>
      </c>
      <c r="H12" s="16">
        <f>IF(C12=0,0,D12/C12)</f>
        <v/>
      </c>
      <c r="I12" s="17">
        <f>IF(_xlfn.MINIFS(Plan!$G$5:$G$288,Plan!$A$5:$A$288,A12)=0,"",_xlfn.MINIFS(Plan!$G$5:$G$288,Plan!$A$5:$A$288,A12))</f>
        <v/>
      </c>
      <c r="J12" s="17">
        <f>IF(_xlfn.MAXIFS(Plan!$H$5:$H$288,Plan!$A$5:$A$288,A12)=0,"",_xlfn.MAXIFS(Plan!$H$5:$H$288,Plan!$A$5:$A$288,A12))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2026-10-23T13:23:02Z</dcterms:created>
  <dcterms:modified xmlns:dcterms="http://purl.org/dc/terms/" xmlns:xsi="http://www.w3.org/2001/XMLSchema-instance" xsi:type="dcterms:W3CDTF">2026-10-23T13:23:02Z</dcterms:modified>
</cp:coreProperties>
</file>