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'Plan'!$A$4:$J$88</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23 Oct: Master Admin moved to rgbkart@gmail.com (0046); hkmanik@gmail.com is now a Co-admin</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8" t="n">
        <v>46317</v>
      </c>
      <c r="H39" s="8"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8" t="n">
        <v>46317</v>
      </c>
      <c r="H50" s="8"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the site online on Hostinger on your own domain (rgbkart.com)</t>
        </is>
      </c>
      <c r="F57" s="7" t="inlineStr">
        <is>
          <t>In progress</t>
        </is>
      </c>
      <c r="G57" s="8" t="n">
        <v>46318</v>
      </c>
      <c r="H57" s="8" t="n"/>
      <c r="I57" s="14">
        <f>IF(AND(G57&lt;&gt;"",H57&lt;&gt;""),H57-G57+1,"")</f>
        <v/>
      </c>
      <c r="J57" s="10" t="inlineStr">
        <is>
          <t>23 Oct: rgbkart.com renewed (active until 14 Aug 2027, auto-renewal on). Old WordPress site on rgbkart.com deleted (mailboxes kept). Next: empty PHP/HTML website on rgbkart.com → FTP login → GitHub secrets + SITE_URL=https://rgbkart.com → Supabase allowed addresses → forward rgbkartdemo.hkmanik.com and www to rgbkart.com</t>
        </is>
      </c>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Do together with 7.8 after the domain: Resend (account under rgbkart@gmail.com) as Supabase's email sender, so sign-up / password emails are not limited (23 Oct the built-in sender hit its hourly limit)</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In progress</t>
        </is>
      </c>
      <c r="G61" s="8" t="n">
        <v>46318</v>
      </c>
      <c r="H61" s="8" t="n"/>
      <c r="I61" s="14">
        <f>IF(AND(G61&lt;&gt;"",H61&lt;&gt;""),H61-G61+1,"")</f>
        <v/>
      </c>
      <c r="J61" s="10" t="inlineStr">
        <is>
          <t>23 Oct: owner's full check as buyer, shop and admin started; demo data removed, so test with real test shops and products</t>
        </is>
      </c>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Waits for 7.1 (rgbkart.com live). Then: Resend account under rgbkart@gmail.com, verify rgbkart.com in Hostinger DNS, send from alerts@rgbkart.com; Edge Function send-alerts + Cron every 5 min; only recent alerts emailed (old ones skipped)</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Done</t>
        </is>
      </c>
      <c r="G65" s="8" t="n">
        <v>46318</v>
      </c>
      <c r="H65" s="8" t="n">
        <v>46318</v>
      </c>
      <c r="I65" s="14">
        <f>IF(AND(G65&lt;&gt;"",H65&lt;&gt;""),H65-G65+1,"")</f>
        <v/>
      </c>
      <c r="J65" s="10" t="inlineStr">
        <is>
          <t>23 Oct: all demo shops, products, buyers, orders and reviews removed (demo_remove_keep_sections.sql); the 14 home page sections were kept by the owner's choice</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row r="84">
      <c r="A84" s="4" t="n">
        <v>8</v>
      </c>
      <c r="B84" s="5" t="inlineStr">
        <is>
          <t>Extra work (added on owner's request)</t>
        </is>
      </c>
      <c r="C84" s="6" t="inlineStr">
        <is>
          <t>8.19</t>
        </is>
      </c>
      <c r="D84" s="5" t="inlineStr">
        <is>
          <t>VAT on invoices</t>
        </is>
      </c>
      <c r="E84" s="5" t="inlineStr">
        <is>
          <t>Admin switches VAT on/off, default rate, VAT per category and per product; VAT shown per item on invoices and orders</t>
        </is>
      </c>
      <c r="F84" s="7" t="inlineStr">
        <is>
          <t>Done</t>
        </is>
      </c>
      <c r="G84" s="8" t="n">
        <v>46318</v>
      </c>
      <c r="H84" s="8" t="n">
        <v>46318</v>
      </c>
      <c r="I84" s="9">
        <f>IF(AND(G84&lt;&gt;"",H84&lt;&gt;""),H84-G84+1,"")</f>
        <v/>
      </c>
      <c r="J84" s="10" t="inlineStr">
        <is>
          <t>23 Oct (0043, 0044): VAT off until the owner switches it on in Admin → Orders</t>
        </is>
      </c>
    </row>
    <row r="85">
      <c r="A85" s="4" t="n">
        <v>8</v>
      </c>
      <c r="B85" s="5" t="inlineStr">
        <is>
          <t>Extra work (added on owner's request)</t>
        </is>
      </c>
      <c r="C85" s="6" t="inlineStr">
        <is>
          <t>8.20</t>
        </is>
      </c>
      <c r="D85" s="5" t="inlineStr">
        <is>
          <t>Delivery set by each shop</t>
        </is>
      </c>
      <c r="E85" s="5" t="inlineStr">
        <is>
          <t>Admin delivery methods with suggested and maximum fees, special methods for heavy, vehicle, flammable, fragile; each shop ticks methods, sets fees and free delivery above an amount</t>
        </is>
      </c>
      <c r="F85" s="7" t="inlineStr">
        <is>
          <t>Done</t>
        </is>
      </c>
      <c r="G85" s="8" t="n">
        <v>46318</v>
      </c>
      <c r="H85" s="8" t="n">
        <v>46318</v>
      </c>
      <c r="I85" s="9">
        <f>IF(AND(G85&lt;&gt;"",H85&lt;&gt;""),H85-G85+1,"")</f>
        <v/>
      </c>
      <c r="J85" s="10" t="inlineStr">
        <is>
          <t>23 Oct (0045): Seller Center → Delivery, Admin → Orders → Delivery methods</t>
        </is>
      </c>
    </row>
    <row r="86">
      <c r="A86" s="4" t="n">
        <v>8</v>
      </c>
      <c r="B86" s="5" t="inlineStr">
        <is>
          <t>Extra work (added on owner's request)</t>
        </is>
      </c>
      <c r="C86" s="6" t="inlineStr">
        <is>
          <t>8.21</t>
        </is>
      </c>
      <c r="D86" s="5" t="inlineStr">
        <is>
          <t>Master Admin account</t>
        </is>
      </c>
      <c r="E86" s="5" t="inlineStr">
        <is>
          <t>Master Admin moved to rgbkart@gmail.com; hkmanik@gmail.com stays as Co-admin</t>
        </is>
      </c>
      <c r="F86" s="7" t="inlineStr">
        <is>
          <t>Done</t>
        </is>
      </c>
      <c r="G86" s="8" t="n">
        <v>46318</v>
      </c>
      <c r="H86" s="8" t="n">
        <v>46318</v>
      </c>
      <c r="I86" s="9">
        <f>IF(AND(G86&lt;&gt;"",H86&lt;&gt;""),H86-G86+1,"")</f>
        <v/>
      </c>
      <c r="J86" s="10" t="inlineStr">
        <is>
          <t>23 Oct (0046)</t>
        </is>
      </c>
    </row>
    <row r="87">
      <c r="A87" s="4" t="n">
        <v>8</v>
      </c>
      <c r="B87" s="5" t="inlineStr">
        <is>
          <t>Extra work (added on owner's request)</t>
        </is>
      </c>
      <c r="C87" s="6" t="inlineStr">
        <is>
          <t>8.22</t>
        </is>
      </c>
      <c r="D87" s="5" t="inlineStr">
        <is>
          <t>Admin dashboard button</t>
        </is>
      </c>
      <c r="E87" s="5" t="inlineStr">
        <is>
          <t>'⚙ Admin dashboard' on My account for team members; 'Seller Center' for shops</t>
        </is>
      </c>
      <c r="F87" s="7" t="inlineStr">
        <is>
          <t>Done</t>
        </is>
      </c>
      <c r="G87" s="8" t="n">
        <v>46318</v>
      </c>
      <c r="H87" s="8" t="n">
        <v>46318</v>
      </c>
      <c r="I87" s="9">
        <f>IF(AND(G87&lt;&gt;"",H87&lt;&gt;""),H87-G87+1,"")</f>
        <v/>
      </c>
      <c r="J87" s="10" t="inlineStr">
        <is>
          <t>23 Oct</t>
        </is>
      </c>
    </row>
    <row r="88">
      <c r="A88" s="4" t="n">
        <v>8</v>
      </c>
      <c r="B88" s="5" t="inlineStr">
        <is>
          <t>Extra work (added on owner's request)</t>
        </is>
      </c>
      <c r="C88" s="6" t="inlineStr">
        <is>
          <t>8.23</t>
        </is>
      </c>
      <c r="D88" s="5" t="inlineStr">
        <is>
          <t>Excel reports without outside tools</t>
        </is>
      </c>
      <c r="E88" s="5" t="inlineStr">
        <is>
          <t>Download Excel built into the site (xlsx-lite.js); top shops and top products in Reports</t>
        </is>
      </c>
      <c r="F88" s="7" t="inlineStr">
        <is>
          <t>Done</t>
        </is>
      </c>
      <c r="G88" s="8" t="n">
        <v>46318</v>
      </c>
      <c r="H88" s="8" t="n">
        <v>46318</v>
      </c>
      <c r="I88" s="9">
        <f>IF(AND(G88&lt;&gt;"",H88&lt;&gt;""),H88-G88+1,"")</f>
        <v/>
      </c>
      <c r="J88" s="10" t="inlineStr">
        <is>
          <t>23 Oct (see 5.10)</t>
        </is>
      </c>
    </row>
  </sheetData>
  <autoFilter ref="A4:J88"/>
  <mergeCells count="1">
    <mergeCell ref="A2:J2"/>
  </mergeCells>
  <conditionalFormatting sqref="F5:F288">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8" showDropDown="0" showInputMessage="0" showErrorMessage="0" allowBlank="1" type="list">
      <formula1>"Not started,In progress,Blocked,Done,Not needed"</formula1>
    </dataValidation>
    <dataValidation sqref="G5:H288"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COUNTIF(Plan!$A$5:$A$288,A4)-COUNTIFS(Plan!$A$5:$A$288,A4,Plan!$F$5:$F$288,"Not needed")</f>
        <v/>
      </c>
      <c r="D4" s="15">
        <f>COUNTIFS(Plan!$A$5:$A$288,$A4,Plan!$F$5:$F$288,"Done")</f>
        <v/>
      </c>
      <c r="E4" s="15">
        <f>COUNTIFS(Plan!$A$5:$A$288,$A4,Plan!$F$5:$F$288,"In progress")</f>
        <v/>
      </c>
      <c r="F4" s="15">
        <f>COUNTIFS(Plan!$A$5:$A$288,$A4,Plan!$F$5:$F$288,"Blocked")</f>
        <v/>
      </c>
      <c r="G4" s="15">
        <f>C4-D4-E4-F4</f>
        <v/>
      </c>
      <c r="H4" s="16">
        <f>IF(C4=0,0,D4/C4)</f>
        <v/>
      </c>
      <c r="I4" s="17">
        <f>IF(_xlfn.MINIFS(Plan!$G$5:$G$288,Plan!$A$5:$A$288,A4)=0,"",_xlfn.MINIFS(Plan!$G$5:$G$288,Plan!$A$5:$A$288,A4))</f>
        <v/>
      </c>
      <c r="J4" s="17">
        <f>IF(_xlfn.MAXIFS(Plan!$H$5:$H$288,Plan!$A$5:$A$288,A4)=0,"",_xlfn.MAXIFS(Plan!$H$5:$H$288,Plan!$A$5:$A$288,A4))</f>
        <v/>
      </c>
    </row>
    <row r="5">
      <c r="A5" s="15" t="n">
        <v>1</v>
      </c>
      <c r="B5" s="15" t="inlineStr">
        <is>
          <t>Catalog &amp; Seller Products</t>
        </is>
      </c>
      <c r="C5" s="15">
        <f>COUNTIF(Plan!$A$5:$A$288,A5)-COUNTIFS(Plan!$A$5:$A$288,A5,Plan!$F$5:$F$288,"Not needed")</f>
        <v/>
      </c>
      <c r="D5" s="15">
        <f>COUNTIFS(Plan!$A$5:$A$288,$A5,Plan!$F$5:$F$288,"Done")</f>
        <v/>
      </c>
      <c r="E5" s="15">
        <f>COUNTIFS(Plan!$A$5:$A$288,$A5,Plan!$F$5:$F$288,"In progress")</f>
        <v/>
      </c>
      <c r="F5" s="15">
        <f>COUNTIFS(Plan!$A$5:$A$288,$A5,Plan!$F$5:$F$288,"Blocked")</f>
        <v/>
      </c>
      <c r="G5" s="15">
        <f>C5-D5-E5-F5</f>
        <v/>
      </c>
      <c r="H5" s="16">
        <f>IF(C5=0,0,D5/C5)</f>
        <v/>
      </c>
      <c r="I5" s="17">
        <f>IF(_xlfn.MINIFS(Plan!$G$5:$G$288,Plan!$A$5:$A$288,A5)=0,"",_xlfn.MINIFS(Plan!$G$5:$G$288,Plan!$A$5:$A$288,A5))</f>
        <v/>
      </c>
      <c r="J5" s="17">
        <f>IF(_xlfn.MAXIFS(Plan!$H$5:$H$288,Plan!$A$5:$A$288,A5)=0,"",_xlfn.MAXIFS(Plan!$H$5:$H$288,Plan!$A$5:$A$288,A5))</f>
        <v/>
      </c>
    </row>
    <row r="6">
      <c r="A6" s="15" t="n">
        <v>2</v>
      </c>
      <c r="B6" s="15" t="inlineStr">
        <is>
          <t>Customer Shopping</t>
        </is>
      </c>
      <c r="C6" s="15">
        <f>COUNTIF(Plan!$A$5:$A$288,A6)-COUNTIFS(Plan!$A$5:$A$288,A6,Plan!$F$5:$F$288,"Not needed")</f>
        <v/>
      </c>
      <c r="D6" s="15">
        <f>COUNTIFS(Plan!$A$5:$A$288,$A6,Plan!$F$5:$F$288,"Done")</f>
        <v/>
      </c>
      <c r="E6" s="15">
        <f>COUNTIFS(Plan!$A$5:$A$288,$A6,Plan!$F$5:$F$288,"In progress")</f>
        <v/>
      </c>
      <c r="F6" s="15">
        <f>COUNTIFS(Plan!$A$5:$A$288,$A6,Plan!$F$5:$F$288,"Blocked")</f>
        <v/>
      </c>
      <c r="G6" s="15">
        <f>C6-D6-E6-F6</f>
        <v/>
      </c>
      <c r="H6" s="16">
        <f>IF(C6=0,0,D6/C6)</f>
        <v/>
      </c>
      <c r="I6" s="17">
        <f>IF(_xlfn.MINIFS(Plan!$G$5:$G$288,Plan!$A$5:$A$288,A6)=0,"",_xlfn.MINIFS(Plan!$G$5:$G$288,Plan!$A$5:$A$288,A6))</f>
        <v/>
      </c>
      <c r="J6" s="17">
        <f>IF(_xlfn.MAXIFS(Plan!$H$5:$H$288,Plan!$A$5:$A$288,A6)=0,"",_xlfn.MAXIFS(Plan!$H$5:$H$288,Plan!$A$5:$A$288,A6))</f>
        <v/>
      </c>
    </row>
    <row r="7">
      <c r="A7" s="15" t="n">
        <v>3</v>
      </c>
      <c r="B7" s="15" t="inlineStr">
        <is>
          <t>Checkout &amp; Payments</t>
        </is>
      </c>
      <c r="C7" s="15">
        <f>COUNTIF(Plan!$A$5:$A$288,A7)-COUNTIFS(Plan!$A$5:$A$288,A7,Plan!$F$5:$F$288,"Not needed")</f>
        <v/>
      </c>
      <c r="D7" s="15">
        <f>COUNTIFS(Plan!$A$5:$A$288,$A7,Plan!$F$5:$F$288,"Done")</f>
        <v/>
      </c>
      <c r="E7" s="15">
        <f>COUNTIFS(Plan!$A$5:$A$288,$A7,Plan!$F$5:$F$288,"In progress")</f>
        <v/>
      </c>
      <c r="F7" s="15">
        <f>COUNTIFS(Plan!$A$5:$A$288,$A7,Plan!$F$5:$F$288,"Blocked")</f>
        <v/>
      </c>
      <c r="G7" s="15">
        <f>C7-D7-E7-F7</f>
        <v/>
      </c>
      <c r="H7" s="16">
        <f>IF(C7=0,0,D7/C7)</f>
        <v/>
      </c>
      <c r="I7" s="17">
        <f>IF(_xlfn.MINIFS(Plan!$G$5:$G$288,Plan!$A$5:$A$288,A7)=0,"",_xlfn.MINIFS(Plan!$G$5:$G$288,Plan!$A$5:$A$288,A7))</f>
        <v/>
      </c>
      <c r="J7" s="17">
        <f>IF(_xlfn.MAXIFS(Plan!$H$5:$H$288,Plan!$A$5:$A$288,A7)=0,"",_xlfn.MAXIFS(Plan!$H$5:$H$288,Plan!$A$5:$A$288,A7))</f>
        <v/>
      </c>
    </row>
    <row r="8">
      <c r="A8" s="15" t="n">
        <v>4</v>
      </c>
      <c r="B8" s="15" t="inlineStr">
        <is>
          <t>Orders &amp; Delivery</t>
        </is>
      </c>
      <c r="C8" s="15">
        <f>COUNTIF(Plan!$A$5:$A$288,A8)-COUNTIFS(Plan!$A$5:$A$288,A8,Plan!$F$5:$F$288,"Not needed")</f>
        <v/>
      </c>
      <c r="D8" s="15">
        <f>COUNTIFS(Plan!$A$5:$A$288,$A8,Plan!$F$5:$F$288,"Done")</f>
        <v/>
      </c>
      <c r="E8" s="15">
        <f>COUNTIFS(Plan!$A$5:$A$288,$A8,Plan!$F$5:$F$288,"In progress")</f>
        <v/>
      </c>
      <c r="F8" s="15">
        <f>COUNTIFS(Plan!$A$5:$A$288,$A8,Plan!$F$5:$F$288,"Blocked")</f>
        <v/>
      </c>
      <c r="G8" s="15">
        <f>C8-D8-E8-F8</f>
        <v/>
      </c>
      <c r="H8" s="16">
        <f>IF(C8=0,0,D8/C8)</f>
        <v/>
      </c>
      <c r="I8" s="17">
        <f>IF(_xlfn.MINIFS(Plan!$G$5:$G$288,Plan!$A$5:$A$288,A8)=0,"",_xlfn.MINIFS(Plan!$G$5:$G$288,Plan!$A$5:$A$288,A8))</f>
        <v/>
      </c>
      <c r="J8" s="17">
        <f>IF(_xlfn.MAXIFS(Plan!$H$5:$H$288,Plan!$A$5:$A$288,A8)=0,"",_xlfn.MAXIFS(Plan!$H$5:$H$288,Plan!$A$5:$A$288,A8))</f>
        <v/>
      </c>
    </row>
    <row r="9">
      <c r="A9" s="15" t="n">
        <v>5</v>
      </c>
      <c r="B9" s="15" t="inlineStr">
        <is>
          <t>Money: Payouts, Promotions &amp; Admin</t>
        </is>
      </c>
      <c r="C9" s="15">
        <f>COUNTIF(Plan!$A$5:$A$288,A9)-COUNTIFS(Plan!$A$5:$A$288,A9,Plan!$F$5:$F$288,"Not needed")</f>
        <v/>
      </c>
      <c r="D9" s="15">
        <f>COUNTIFS(Plan!$A$5:$A$288,$A9,Plan!$F$5:$F$288,"Done")</f>
        <v/>
      </c>
      <c r="E9" s="15">
        <f>COUNTIFS(Plan!$A$5:$A$288,$A9,Plan!$F$5:$F$288,"In progress")</f>
        <v/>
      </c>
      <c r="F9" s="15">
        <f>COUNTIFS(Plan!$A$5:$A$288,$A9,Plan!$F$5:$F$288,"Blocked")</f>
        <v/>
      </c>
      <c r="G9" s="15">
        <f>C9-D9-E9-F9</f>
        <v/>
      </c>
      <c r="H9" s="16">
        <f>IF(C9=0,0,D9/C9)</f>
        <v/>
      </c>
      <c r="I9" s="17">
        <f>IF(_xlfn.MINIFS(Plan!$G$5:$G$288,Plan!$A$5:$A$288,A9)=0,"",_xlfn.MINIFS(Plan!$G$5:$G$288,Plan!$A$5:$A$288,A9))</f>
        <v/>
      </c>
      <c r="J9" s="17">
        <f>IF(_xlfn.MAXIFS(Plan!$H$5:$H$288,Plan!$A$5:$A$288,A9)=0,"",_xlfn.MAXIFS(Plan!$H$5:$H$288,Plan!$A$5:$A$288,A9))</f>
        <v/>
      </c>
    </row>
    <row r="10">
      <c r="A10" s="15" t="n">
        <v>6</v>
      </c>
      <c r="B10" s="15" t="inlineStr">
        <is>
          <t>Reviews, Notifications &amp; Trust</t>
        </is>
      </c>
      <c r="C10" s="15">
        <f>COUNTIF(Plan!$A$5:$A$288,A10)-COUNTIFS(Plan!$A$5:$A$288,A10,Plan!$F$5:$F$288,"Not needed")</f>
        <v/>
      </c>
      <c r="D10" s="15">
        <f>COUNTIFS(Plan!$A$5:$A$288,$A10,Plan!$F$5:$F$288,"Done")</f>
        <v/>
      </c>
      <c r="E10" s="15">
        <f>COUNTIFS(Plan!$A$5:$A$288,$A10,Plan!$F$5:$F$288,"In progress")</f>
        <v/>
      </c>
      <c r="F10" s="15">
        <f>COUNTIFS(Plan!$A$5:$A$288,$A10,Plan!$F$5:$F$288,"Blocked")</f>
        <v/>
      </c>
      <c r="G10" s="15">
        <f>C10-D10-E10-F10</f>
        <v/>
      </c>
      <c r="H10" s="16">
        <f>IF(C10=0,0,D10/C10)</f>
        <v/>
      </c>
      <c r="I10" s="17">
        <f>IF(_xlfn.MINIFS(Plan!$G$5:$G$288,Plan!$A$5:$A$288,A10)=0,"",_xlfn.MINIFS(Plan!$G$5:$G$288,Plan!$A$5:$A$288,A10))</f>
        <v/>
      </c>
      <c r="J10" s="17">
        <f>IF(_xlfn.MAXIFS(Plan!$H$5:$H$288,Plan!$A$5:$A$288,A10)=0,"",_xlfn.MAXIFS(Plan!$H$5:$H$288,Plan!$A$5:$A$288,A10))</f>
        <v/>
      </c>
    </row>
    <row r="11">
      <c r="A11" s="15" t="n">
        <v>7</v>
      </c>
      <c r="B11" s="15" t="inlineStr">
        <is>
          <t>Launch</t>
        </is>
      </c>
      <c r="C11" s="15">
        <f>COUNTIF(Plan!$A$5:$A$288,A11)-COUNTIFS(Plan!$A$5:$A$288,A11,Plan!$F$5:$F$288,"Not needed")</f>
        <v/>
      </c>
      <c r="D11" s="15">
        <f>COUNTIFS(Plan!$A$5:$A$288,$A11,Plan!$F$5:$F$288,"Done")</f>
        <v/>
      </c>
      <c r="E11" s="15">
        <f>COUNTIFS(Plan!$A$5:$A$288,$A11,Plan!$F$5:$F$288,"In progress")</f>
        <v/>
      </c>
      <c r="F11" s="15">
        <f>COUNTIFS(Plan!$A$5:$A$288,$A11,Plan!$F$5:$F$288,"Blocked")</f>
        <v/>
      </c>
      <c r="G11" s="15">
        <f>C11-D11-E11-F11</f>
        <v/>
      </c>
      <c r="H11" s="16">
        <f>IF(C11=0,0,D11/C11)</f>
        <v/>
      </c>
      <c r="I11" s="17">
        <f>IF(_xlfn.MINIFS(Plan!$G$5:$G$288,Plan!$A$5:$A$288,A11)=0,"",_xlfn.MINIFS(Plan!$G$5:$G$288,Plan!$A$5:$A$288,A11))</f>
        <v/>
      </c>
      <c r="J11" s="17">
        <f>IF(_xlfn.MAXIFS(Plan!$H$5:$H$288,Plan!$A$5:$A$288,A11)=0,"",_xlfn.MAXIFS(Plan!$H$5:$H$288,Plan!$A$5:$A$288,A11))</f>
        <v/>
      </c>
    </row>
    <row r="12">
      <c r="A12" s="15" t="n">
        <v>8</v>
      </c>
      <c r="B12" s="15" t="inlineStr">
        <is>
          <t>Extra work (added on owner's request)</t>
        </is>
      </c>
      <c r="C12" s="15">
        <f>COUNTIF(Plan!$A$5:$A$288,A12)-COUNTIFS(Plan!$A$5:$A$288,A12,Plan!$F$5:$F$288,"Not needed")</f>
        <v/>
      </c>
      <c r="D12" s="15">
        <f>COUNTIFS(Plan!$A$5:$A$288,$A12,Plan!$F$5:$F$288,"Done")</f>
        <v/>
      </c>
      <c r="E12" s="15">
        <f>COUNTIFS(Plan!$A$5:$A$288,$A12,Plan!$F$5:$F$288,"In progress")</f>
        <v/>
      </c>
      <c r="F12" s="15">
        <f>COUNTIFS(Plan!$A$5:$A$288,$A12,Plan!$F$5:$F$288,"Blocked")</f>
        <v/>
      </c>
      <c r="G12" s="15">
        <f>C12-D12-E12-F12</f>
        <v/>
      </c>
      <c r="H12" s="16">
        <f>IF(C12=0,0,D12/C12)</f>
        <v/>
      </c>
      <c r="I12" s="17">
        <f>IF(_xlfn.MINIFS(Plan!$G$5:$G$288,Plan!$A$5:$A$288,A12)=0,"",_xlfn.MINIFS(Plan!$G$5:$G$288,Plan!$A$5:$A$288,A12))</f>
        <v/>
      </c>
      <c r="J12" s="17">
        <f>IF(_xlfn.MAXIFS(Plan!$H$5:$H$288,Plan!$A$5:$A$288,A12)=0,"",_xlfn.MAXIFS(Plan!$H$5:$H$288,Plan!$A$5:$A$288,A12))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2026-10-23T12:25:10Z</dcterms:created>
  <dcterms:modified xmlns:dcterms="http://purl.org/dc/terms/" xmlns:xsi="http://www.w3.org/2001/XMLSchema-instance" xsi:type="dcterms:W3CDTF">2026-10-23T12:25:10Z</dcterms:modified>
</cp:coreProperties>
</file>