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Test setup" sheetId="1" state="visible" r:id="rId3"/>
    <sheet name="Walk-through" sheetId="2" state="visible" r:id="rId4"/>
    <sheet name="Summary" sheetId="3" state="visible" r:id="rId5"/>
  </sheets>
  <definedNames>
    <definedName function="false" hidden="false" localSheetId="1" name="_xlnm.Print_Titles" vbProcedure="false">'Walk-through'!$3:$3</definedName>
    <definedName function="false" hidden="true" localSheetId="1" name="_xlnm._FilterDatabase" vbProcedure="false">'Walk-through'!$A$3:$G$101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<sst xmlns="http://schemas.openxmlformats.org/spreadsheetml/2006/main" count="641" uniqueCount="534">
  <si>
    <t xml:space="preserve">Do this BEFORE the walk-through: create test accounts, then add products</t>
  </si>
  <si>
    <t xml:space="preserve">Email tip: Gmail ignores anything after a + sign, so rgbkart+shop1@gmail.com arrives in the rgbkart@gmail.com inbox, but RGBKart treats it as a separate account. You don't need new mailboxes.</t>
  </si>
  <si>
    <t xml:space="preserve">A. Accounts to create</t>
  </si>
  <si>
    <t xml:space="preserve">#</t>
  </si>
  <si>
    <t xml:space="preserve">Account</t>
  </si>
  <si>
    <t xml:space="preserve">Sign-up email (suggested)</t>
  </si>
  <si>
    <t xml:space="preserve">How</t>
  </si>
  <si>
    <t xml:space="preserve">Shop / name idea</t>
  </si>
  <si>
    <t xml:space="preserve">Done?</t>
  </si>
  <si>
    <t xml:space="preserve">Notes</t>
  </si>
  <si>
    <t xml:space="preserve">A1</t>
  </si>
  <si>
    <t xml:space="preserve">Shop A (Gadgets, Dhaka)</t>
  </si>
  <si>
    <t xml:space="preserve">rgbkart+shopa@gmail.com</t>
  </si>
  <si>
    <t xml:space="preserve">login.html → Sign up → I want to sell; then Admin → Sellers → Approve</t>
  </si>
  <si>
    <t xml:space="preserve">Test Gadget House · Dhaka · store pickup ON</t>
  </si>
  <si>
    <t xml:space="preserve">A2</t>
  </si>
  <si>
    <t xml:space="preserve">Shop B (Fashion, Chattogram)</t>
  </si>
  <si>
    <t xml:space="preserve">rgbkart+shopb@gmail.com</t>
  </si>
  <si>
    <t xml:space="preserve">Same as A1</t>
  </si>
  <si>
    <t xml:space="preserve">Test Fashion Corner · Chattogram</t>
  </si>
  <si>
    <t xml:space="preserve">A3</t>
  </si>
  <si>
    <t xml:space="preserve">Shop C (Home &amp; grocery, Dhaka)</t>
  </si>
  <si>
    <t xml:space="preserve">support@rgbkart.com</t>
  </si>
  <si>
    <t xml:space="preserve">Test Home Bazar · Dhaka</t>
  </si>
  <si>
    <t xml:space="preserve">A4</t>
  </si>
  <si>
    <t xml:space="preserve">Customer 1</t>
  </si>
  <si>
    <t xml:space="preserve">kabiaritc@gmail.com</t>
  </si>
  <si>
    <t xml:space="preserve">login.html → Sign up (customer)</t>
  </si>
  <si>
    <t xml:space="preserve">Dhaka address</t>
  </si>
  <si>
    <t xml:space="preserve">A5</t>
  </si>
  <si>
    <t xml:space="preserve">Customer 2</t>
  </si>
  <si>
    <t xml:space="preserve">rgbkart+cust2@gmail.com</t>
  </si>
  <si>
    <t xml:space="preserve">Same as A4</t>
  </si>
  <si>
    <t xml:space="preserve">Outside Dhaka address (e.g. Sylhet)</t>
  </si>
  <si>
    <t xml:space="preserve">A6</t>
  </si>
  <si>
    <t xml:space="preserve">Customer 3</t>
  </si>
  <si>
    <t xml:space="preserve">rgbkart+cust3@gmail.com</t>
  </si>
  <si>
    <t xml:space="preserve">Use it on your phone</t>
  </si>
  <si>
    <t xml:space="preserve">A7</t>
  </si>
  <si>
    <t xml:space="preserve">One-time seller</t>
  </si>
  <si>
    <t xml:space="preserve">(no account)</t>
  </si>
  <si>
    <t xml:space="preserve">Private window → rgbkart.com/sell.html</t>
  </si>
  <si>
    <t xml:space="preserve">Your name + a phone number</t>
  </si>
  <si>
    <t xml:space="preserve">A8</t>
  </si>
  <si>
    <t xml:space="preserve">Admin</t>
  </si>
  <si>
    <t xml:space="preserve">rgbkart@gmail.com</t>
  </si>
  <si>
    <t xml:space="preserve">Already exists</t>
  </si>
  <si>
    <t xml:space="preserve">Approves everything; adds products with options (only admin can)</t>
  </si>
  <si>
    <t xml:space="preserve">B. Products to add (20) - each one tests different options</t>
  </si>
  <si>
    <t xml:space="preserve">Who adds it</t>
  </si>
  <si>
    <t xml:space="preserve">Example product</t>
  </si>
  <si>
    <t xml:space="preserve">Price / stock</t>
  </si>
  <si>
    <t xml:space="preserve">Options to set</t>
  </si>
  <si>
    <t xml:space="preserve">What it tests</t>
  </si>
  <si>
    <t xml:space="preserve">P1</t>
  </si>
  <si>
    <t xml:space="preserve">Shop A</t>
  </si>
  <si>
    <t xml:space="preserve">Smartphone (brand new)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</si>
  <si>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18,000 · stock 10</t>
    </r>
  </si>
  <si>
    <r>
      <rPr>
        <sz val="11"/>
        <color theme="1"/>
        <rFont val="Calibri"/>
        <family val="2"/>
        <charset val="1"/>
      </rPr>
      <t xml:space="preserve">Then pay Featured 7 days (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20) with a TrxID</t>
    </r>
  </si>
  <si>
    <t xml:space="preserve">Featured badge, Featured first in search, locked title/stock, payment check</t>
  </si>
  <si>
    <t xml:space="preserve">P2</t>
  </si>
  <si>
    <t xml:space="preserve">Wireless earbuds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</si>
  <si>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1,200 · stock 2</t>
    </r>
  </si>
  <si>
    <r>
      <rPr>
        <sz val="11"/>
        <color theme="1"/>
        <rFont val="Calibri"/>
        <family val="2"/>
        <charset val="1"/>
      </rPr>
      <t xml:space="preserve">Sale price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999</t>
    </r>
  </si>
  <si>
    <t xml:space="preserve">Sale tag, 'only 2 left'</t>
  </si>
  <si>
    <t xml:space="preserve">P3</t>
  </si>
  <si>
    <t xml:space="preserve">USB-C cable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</si>
  <si>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250 · stock 100</t>
    </r>
  </si>
  <si>
    <r>
      <rPr>
        <sz val="11"/>
        <color theme="1"/>
        <rFont val="Calibri"/>
        <family val="2"/>
        <charset val="1"/>
      </rPr>
      <t xml:space="preserve">Bulk prices: 5+ =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220, 10+ =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200; Free delivery</t>
    </r>
  </si>
  <si>
    <t xml:space="preserve">Bulk price in cart, free delivery</t>
  </si>
  <si>
    <t xml:space="preserve">P4</t>
  </si>
  <si>
    <t xml:space="preserve">Used laptop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</si>
  <si>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35,000 · stock 1</t>
    </r>
  </si>
  <si>
    <t xml:space="preserve">Condition: Used</t>
  </si>
  <si>
    <r>
      <rPr>
        <sz val="11"/>
        <color theme="1"/>
        <rFont val="Calibri"/>
        <family val="2"/>
        <charset val="1"/>
      </rPr>
      <t xml:space="preserve">Used label; first-order COD limit (over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20,000)</t>
    </r>
  </si>
  <si>
    <t xml:space="preserve">P5</t>
  </si>
  <si>
    <t xml:space="preserve">Refrigerator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</si>
  <si>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45,000 · stock 3</t>
    </r>
  </si>
  <si>
    <t xml:space="preserve">Parcel type: Heavy; ships to Inside Dhaka only</t>
  </si>
  <si>
    <t xml:space="preserve">Heavy delivery methods, Dhaka-only area</t>
  </si>
  <si>
    <t xml:space="preserve">P6</t>
  </si>
  <si>
    <t xml:space="preserve">Power bank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</si>
  <si>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1,500 · stock 0</t>
    </r>
  </si>
  <si>
    <t xml:space="preserve">Out of stock</t>
  </si>
  <si>
    <t xml:space="preserve">Can't be added to cart</t>
  </si>
  <si>
    <t xml:space="preserve">P7</t>
  </si>
  <si>
    <t xml:space="preserve">Gaming console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</si>
  <si>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55,000 · stock 0</t>
    </r>
  </si>
  <si>
    <t xml:space="preserve">Pre-order (ships later)</t>
  </si>
  <si>
    <t xml:space="preserve">Pre-order label and note</t>
  </si>
  <si>
    <t xml:space="preserve">P8</t>
  </si>
  <si>
    <t xml:space="preserve">Shop B</t>
  </si>
  <si>
    <t xml:space="preserve">Cotton saree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</si>
  <si>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3,500 · stock 5</t>
    </r>
  </si>
  <si>
    <t xml:space="preserve">Return policy 15 days; Bangla title + description</t>
  </si>
  <si>
    <t xml:space="preserve">Return button, Bangla page</t>
  </si>
  <si>
    <t xml:space="preserve">P9</t>
  </si>
  <si>
    <t xml:space="preserve">Leather shoes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</si>
  <si>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2,200 · stock 8</t>
    </r>
  </si>
  <si>
    <t xml:space="preserve">Return policy: No returns</t>
  </si>
  <si>
    <t xml:space="preserve">No return button after delivery</t>
  </si>
  <si>
    <t xml:space="preserve">P10</t>
  </si>
  <si>
    <t xml:space="preserve">Glass flower vase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</si>
  <si>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800 · stock 6</t>
    </r>
  </si>
  <si>
    <t xml:space="preserve">Parcel type: Fragile</t>
  </si>
  <si>
    <t xml:space="preserve">Fragile delivery methods</t>
  </si>
  <si>
    <t xml:space="preserve">P11</t>
  </si>
  <si>
    <t xml:space="preserve">Perfume 100 ml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</si>
  <si>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1,500 · stock 10</t>
    </r>
  </si>
  <si>
    <t xml:space="preserve">Parcel type: Flammable</t>
  </si>
  <si>
    <t xml:space="preserve">Flammable delivery method</t>
  </si>
  <si>
    <t xml:space="preserve">P12</t>
  </si>
  <si>
    <t xml:space="preserve">Tailoring service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</si>
  <si>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600</t>
    </r>
  </si>
  <si>
    <t xml:space="preserve">Type: Service</t>
  </si>
  <si>
    <t xml:space="preserve">Service product shows correctly</t>
  </si>
  <si>
    <t xml:space="preserve">P13</t>
  </si>
  <si>
    <t xml:space="preserve">Shop C</t>
  </si>
  <si>
    <t xml:space="preserve">Miniket rice 25 kg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</si>
  <si>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1,800 · stock 40</t>
    </r>
  </si>
  <si>
    <r>
      <rPr>
        <sz val="11"/>
        <color theme="1"/>
        <rFont val="Calibri"/>
        <family val="2"/>
        <charset val="1"/>
      </rPr>
      <t xml:space="preserve">Parcel type: Heavy; bulk 3+ =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1,750</t>
    </r>
  </si>
  <si>
    <t xml:space="preserve">Heavy + bulk together</t>
  </si>
  <si>
    <t xml:space="preserve">P14</t>
  </si>
  <si>
    <t xml:space="preserve">Soybean oil 5 L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</si>
  <si>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900 · stock 30</t>
    </r>
  </si>
  <si>
    <t xml:space="preserve">Ships same day</t>
  </si>
  <si>
    <t xml:space="preserve">Delivery time label</t>
  </si>
  <si>
    <t xml:space="preserve">P15</t>
  </si>
  <si>
    <t xml:space="preserve">Gift hamper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</si>
  <si>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2,500 · stock 4</t>
    </r>
  </si>
  <si>
    <r>
      <rPr>
        <sz val="11"/>
        <color theme="1"/>
        <rFont val="Calibri"/>
        <family val="2"/>
        <charset val="1"/>
      </rPr>
      <t xml:space="preserve">Then make coupon TEST10 (10%, min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500) in Coupons</t>
    </r>
  </si>
  <si>
    <t xml:space="preserve">Coupon in cart</t>
  </si>
  <si>
    <t xml:space="preserve">P16</t>
  </si>
  <si>
    <t xml:space="preserve">Used bicycle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</si>
  <si>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8,000</t>
    </r>
  </si>
  <si>
    <t xml:space="preserve">FREE listing; price negotiable</t>
  </si>
  <si>
    <t xml:space="preserve">Phone hidden, message only, negotiable</t>
  </si>
  <si>
    <t xml:space="preserve">P17</t>
  </si>
  <si>
    <t xml:space="preserve">Used motorbike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</si>
  <si>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95,000</t>
    </r>
  </si>
  <si>
    <t xml:space="preserve">FEATURED listing (pay with TrxID); Parcel: Vehicle</t>
  </si>
  <si>
    <t xml:space="preserve">Call/WhatsApp shown after payment, vehicle delivery</t>
  </si>
  <si>
    <t xml:space="preserve">P18</t>
  </si>
  <si>
    <t xml:space="preserve">Admin (RGBKart Official)</t>
  </si>
  <si>
    <t xml:space="preserve">T-shirt</t>
  </si>
  <si>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450</t>
    </r>
  </si>
  <si>
    <r>
      <rPr>
        <sz val="11"/>
        <color theme="1"/>
        <rFont val="Calibri"/>
        <family val="2"/>
        <charset val="1"/>
      </rPr>
      <t xml:space="preserve">Admin → Add product with options: Size S/M/L/XL × Colour Red/Green; XL +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50</t>
    </r>
  </si>
  <si>
    <t xml:space="preserve">Products with options (only admin can add)</t>
  </si>
  <si>
    <t xml:space="preserve">P19</t>
  </si>
  <si>
    <t xml:space="preserve">Any approved product</t>
  </si>
  <si>
    <t xml:space="preserve">-</t>
  </si>
  <si>
    <t xml:space="preserve">Admin → Products → Make Featured (free)</t>
  </si>
  <si>
    <r>
      <rPr>
        <sz val="11"/>
        <color theme="1"/>
        <rFont val="Calibri"/>
        <family val="2"/>
        <charset val="1"/>
      </rPr>
      <t xml:space="preserve">Free Featured,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0 in reports</t>
    </r>
  </si>
  <si>
    <t xml:space="preserve">P20</t>
  </si>
  <si>
    <t xml:space="preserve">Admin → Products → % VAT 15 (VAT stays OFF until you switch it on)</t>
  </si>
  <si>
    <t xml:space="preserve">VAT per product (test only if you plan to use VAT)</t>
  </si>
  <si>
    <t xml:space="preserve">Tips</t>
  </si>
  <si>
    <t xml:space="preserve">•</t>
  </si>
  <si>
    <t xml:space="preserve">Add 1-3 photos to every product (phone photos are fine) so the pages look real.</t>
  </si>
  <si>
    <t xml:space="preserve">After each shop adds products, approve them in Admin → Products (one with 'Reject' + a note, to test that too).</t>
  </si>
  <si>
    <r>
      <rPr>
        <sz val="11"/>
        <color theme="1"/>
        <rFont val="Calibri"/>
        <family val="2"/>
        <charset val="1"/>
      </rPr>
      <t xml:space="preserve">Each shop: Seller Center → Delivery, tick methods and set fees (Shop A: also 'Free delivery over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5,000').</t>
    </r>
  </si>
  <si>
    <t xml:space="preserve">Keep the browsers apart: admin in Chrome, shops in a private window or Edge, customers on the phone.</t>
  </si>
  <si>
    <t xml:space="preserve">When the real launch comes, delete the test shops and customers in Admin → Users (one click each).</t>
  </si>
  <si>
    <t xml:space="preserve">RGBKart: live site walk-through (rgbkart.com)</t>
  </si>
  <si>
    <t xml:space="preserve">Go top to bottom. In 'Result' choose Pass, Fail, Not sure or Skip. Write anything odd in Notes.</t>
  </si>
  <si>
    <t xml:space="preserve">No.</t>
  </si>
  <si>
    <t xml:space="preserve">Item</t>
  </si>
  <si>
    <t xml:space="preserve">What to do</t>
  </si>
  <si>
    <t xml:space="preserve">What you should see</t>
  </si>
  <si>
    <t xml:space="preserve">Account / window</t>
  </si>
  <si>
    <t xml:space="preserve">Result</t>
  </si>
  <si>
    <t xml:space="preserve">Notes / what went wrong</t>
  </si>
  <si>
    <t xml:space="preserve">1. First look: home page (no sign-in)</t>
  </si>
  <si>
    <t xml:space="preserve">1.1</t>
  </si>
  <si>
    <t xml:space="preserve">Site opens</t>
  </si>
  <si>
    <t xml:space="preserve">Open https://rgbkart.com on the computer</t>
  </si>
  <si>
    <t xml:space="preserve">Home page loads with green header, basket logo, 'Red &amp; Green Basket' wordmark and tagline</t>
  </si>
  <si>
    <t xml:space="preserve">Guest (private window)</t>
  </si>
  <si>
    <t xml:space="preserve">1.2</t>
  </si>
  <si>
    <t xml:space="preserve">www and old address</t>
  </si>
  <si>
    <t xml:space="preserve">Open www.rgbkart.com and rgbkartdemo.hkmanik.com</t>
  </si>
  <si>
    <t xml:space="preserve">Both end up on https://rgbkart.com (padlock shown)</t>
  </si>
  <si>
    <t xml:space="preserve">1.3</t>
  </si>
  <si>
    <t xml:space="preserve">Categories grid</t>
  </si>
  <si>
    <t xml:space="preserve">Look at the 6×2 category boxes; click one</t>
  </si>
  <si>
    <t xml:space="preserve">Pictures/icons show; click opens that category's products</t>
  </si>
  <si>
    <t xml:space="preserve">1.4</t>
  </si>
  <si>
    <t xml:space="preserve">Home sections</t>
  </si>
  <si>
    <t xml:space="preserve">Scroll the whole home page</t>
  </si>
  <si>
    <t xml:space="preserve">Sections with products show; empty sections are hidden, no broken boxes</t>
  </si>
  <si>
    <t xml:space="preserve">1.5</t>
  </si>
  <si>
    <t xml:space="preserve">Top shops row</t>
  </si>
  <si>
    <t xml:space="preserve">Watch the Top shops row; hover on it</t>
  </si>
  <si>
    <t xml:space="preserve">Shop cards glide; stop while the mouse is on them</t>
  </si>
  <si>
    <t xml:space="preserve">1.6</t>
  </si>
  <si>
    <t xml:space="preserve">Main menu</t>
  </si>
  <si>
    <t xml:space="preserve">Open 'All categories' and each menu link</t>
  </si>
  <si>
    <t xml:space="preserve">Panel opens; every link goes to a working page</t>
  </si>
  <si>
    <t xml:space="preserve">1.7</t>
  </si>
  <si>
    <t xml:space="preserve">Footer</t>
  </si>
  <si>
    <t xml:space="preserve">Click every footer link (About, Contact, Terms, Privacy, Returns, Seller rules)</t>
  </si>
  <si>
    <t xml:space="preserve">Each page opens; note any [bracket] text still to be filled</t>
  </si>
  <si>
    <t xml:space="preserve">1.8</t>
  </si>
  <si>
    <t xml:space="preserve">Wrong address</t>
  </si>
  <si>
    <t xml:space="preserve">Open https://rgbkart.com/abc</t>
  </si>
  <si>
    <t xml:space="preserve">Friendly 'page not found' page with a way back</t>
  </si>
  <si>
    <t xml:space="preserve">2. Bangla / English</t>
  </si>
  <si>
    <t xml:space="preserve">2.1</t>
  </si>
  <si>
    <t xml:space="preserve">Switch to Bangla</t>
  </si>
  <si>
    <t xml:space="preserve">Click the language button in the menu bar</t>
  </si>
  <si>
    <t xml:space="preserve">Menu, buttons, headings change to Bangla; Bangla font looks right</t>
  </si>
  <si>
    <t xml:space="preserve">2.2</t>
  </si>
  <si>
    <t xml:space="preserve">Bangla everywhere</t>
  </si>
  <si>
    <t xml:space="preserve">With Bangla on, open a category, a product, the cart</t>
  </si>
  <si>
    <t xml:space="preserve">Category names, labels and prices (Bangla digits) are in Bangla; note any English left</t>
  </si>
  <si>
    <t xml:space="preserve">2.3</t>
  </si>
  <si>
    <t xml:space="preserve">Remembered</t>
  </si>
  <si>
    <t xml:space="preserve">Close the tab, open rgbkart.com again</t>
  </si>
  <si>
    <t xml:space="preserve">Still in Bangla; switch back to English</t>
  </si>
  <si>
    <t xml:space="preserve">3. Finding products</t>
  </si>
  <si>
    <t xml:space="preserve">3.1</t>
  </si>
  <si>
    <t xml:space="preserve">Search words</t>
  </si>
  <si>
    <t xml:space="preserve">Type a product word in the header search</t>
  </si>
  <si>
    <t xml:space="preserve">Matching products; Featured first, then newest</t>
  </si>
  <si>
    <t xml:space="preserve">3.2</t>
  </si>
  <si>
    <t xml:space="preserve">Search a shop / category</t>
  </si>
  <si>
    <t xml:space="preserve">Search a shop name, then a category name</t>
  </si>
  <si>
    <t xml:space="preserve">'Shops' row and category buttons appear above products</t>
  </si>
  <si>
    <t xml:space="preserve">3.3</t>
  </si>
  <si>
    <t xml:space="preserve">Search in Bangla</t>
  </si>
  <si>
    <t xml:space="preserve">Search a Bangla word</t>
  </si>
  <si>
    <t xml:space="preserve">Bangla titles/categories are found</t>
  </si>
  <si>
    <t xml:space="preserve">3.4</t>
  </si>
  <si>
    <t xml:space="preserve">Filters and sort</t>
  </si>
  <si>
    <t xml:space="preserve">On a category page use price, condition, rating filters and each sort</t>
  </si>
  <si>
    <t xml:space="preserve">List changes correctly; page numbers work</t>
  </si>
  <si>
    <t xml:space="preserve">3.5</t>
  </si>
  <si>
    <t xml:space="preserve">Nothing found</t>
  </si>
  <si>
    <t xml:space="preserve">Search 'zzzz'</t>
  </si>
  <si>
    <t xml:space="preserve">Polite 'nothing found' message</t>
  </si>
  <si>
    <t xml:space="preserve">4. Product page and shop page</t>
  </si>
  <si>
    <t xml:space="preserve">4.1</t>
  </si>
  <si>
    <t xml:space="preserve">Product page</t>
  </si>
  <si>
    <t xml:space="preserve">Open any product</t>
  </si>
  <si>
    <t xml:space="preserve">Photos, price, stock, description, delivery info, seller box</t>
  </si>
  <si>
    <t xml:space="preserve">4.2</t>
  </si>
  <si>
    <t xml:space="preserve">Visit shop</t>
  </si>
  <si>
    <t xml:space="preserve">Click 'Visit shop'</t>
  </si>
  <si>
    <t xml:space="preserve">Shop page: banner, logo, contact, about, products, search and sort</t>
  </si>
  <si>
    <t xml:space="preserve">4.3</t>
  </si>
  <si>
    <t xml:space="preserve">Share</t>
  </si>
  <si>
    <t xml:space="preserve">Click Share on a product; paste the link in WhatsApp/Messenger</t>
  </si>
  <si>
    <t xml:space="preserve">Preview shows picture, title and price</t>
  </si>
  <si>
    <t xml:space="preserve">4.4</t>
  </si>
  <si>
    <t xml:space="preserve">Ask a question (guest)</t>
  </si>
  <si>
    <t xml:space="preserve">Ask a question in the Questions box</t>
  </si>
  <si>
    <t xml:space="preserve">'Sent' message; seller gets it later (step 9)</t>
  </si>
  <si>
    <t xml:space="preserve">4.5</t>
  </si>
  <si>
    <t xml:space="preserve">Report</t>
  </si>
  <si>
    <t xml:space="preserve">Click 'Report' on a product, choose a reason</t>
  </si>
  <si>
    <t xml:space="preserve">Thank-you message; Admin sees it (step 12)</t>
  </si>
  <si>
    <t xml:space="preserve">4.6</t>
  </si>
  <si>
    <t xml:space="preserve">Free one-time listing contact</t>
  </si>
  <si>
    <t xml:space="preserve">Open a FREE one-time seller listing (after step 7)</t>
  </si>
  <si>
    <t xml:space="preserve">Phone NOT shown; only 'Message' on RGBKart</t>
  </si>
  <si>
    <t xml:space="preserve">5. Customer account</t>
  </si>
  <si>
    <t xml:space="preserve">5.1</t>
  </si>
  <si>
    <t xml:space="preserve">Sign up</t>
  </si>
  <si>
    <t xml:space="preserve">login.html → Sign up as customer with kabiaritc@gmail.com</t>
  </si>
  <si>
    <t xml:space="preserve">Confirmation email arrives from no-reply@rgbkart.com within a minute</t>
  </si>
  <si>
    <t xml:space="preserve">Customer (kabiaritc@gmail.com)</t>
  </si>
  <si>
    <t xml:space="preserve">5.2</t>
  </si>
  <si>
    <t xml:space="preserve">Confirm and sign in</t>
  </si>
  <si>
    <t xml:space="preserve">Click the email link, then sign in</t>
  </si>
  <si>
    <t xml:space="preserve">Lands on My account</t>
  </si>
  <si>
    <t xml:space="preserve">5.3</t>
  </si>
  <si>
    <t xml:space="preserve">Profile and addresses</t>
  </si>
  <si>
    <t xml:space="preserve">Edit name/phone; add 2 addresses; make one default</t>
  </si>
  <si>
    <t xml:space="preserve">Saved; default marked</t>
  </si>
  <si>
    <t xml:space="preserve">5.4</t>
  </si>
  <si>
    <t xml:space="preserve">Forgot password</t>
  </si>
  <si>
    <t xml:space="preserve">Sign out → 'Forgot password' → follow the email</t>
  </si>
  <si>
    <t xml:space="preserve">Reset email arrives; new password works</t>
  </si>
  <si>
    <t xml:space="preserve">5.5</t>
  </si>
  <si>
    <t xml:space="preserve">Wishlist</t>
  </si>
  <si>
    <t xml:space="preserve">Tap ♥ on 2 products, open Wishlist</t>
  </si>
  <si>
    <t xml:space="preserve">Both listed; heart count in header</t>
  </si>
  <si>
    <t xml:space="preserve">5.6</t>
  </si>
  <si>
    <t xml:space="preserve">Lists follow you</t>
  </si>
  <si>
    <t xml:space="preserve">Sign in on the phone with the same account</t>
  </si>
  <si>
    <t xml:space="preserve">Same wishlist and cart on the phone</t>
  </si>
  <si>
    <t xml:space="preserve">6. Shop (seller) setup</t>
  </si>
  <si>
    <t xml:space="preserve">6.1</t>
  </si>
  <si>
    <t xml:space="preserve">Seller sign-up</t>
  </si>
  <si>
    <t xml:space="preserve">Private window: sign up as seller with support@rgbkart.com, fill shop details</t>
  </si>
  <si>
    <t xml:space="preserve">'Waiting for approval' message</t>
  </si>
  <si>
    <t xml:space="preserve">Test shop (support@rgbkart.com)</t>
  </si>
  <si>
    <t xml:space="preserve">6.2</t>
  </si>
  <si>
    <t xml:space="preserve">Approve the shop</t>
  </si>
  <si>
    <t xml:space="preserve">Admin → Sellers → approve the new shop</t>
  </si>
  <si>
    <t xml:space="preserve">Shop gets 'Shop approved' alert + email</t>
  </si>
  <si>
    <t xml:space="preserve">Admin (rgbkart@gmail.com)</t>
  </si>
  <si>
    <t xml:space="preserve">6.3</t>
  </si>
  <si>
    <t xml:space="preserve">Shop profile</t>
  </si>
  <si>
    <t xml:space="preserve">Seller Center: logo, banner, about, phone, WhatsApp</t>
  </si>
  <si>
    <t xml:space="preserve">Shows on store page</t>
  </si>
  <si>
    <t xml:space="preserve">6.4</t>
  </si>
  <si>
    <t xml:space="preserve">Delivery</t>
  </si>
  <si>
    <t xml:space="preserve">Seller Center → Delivery: tick methods, set fees, free delivery over</t>
  </si>
  <si>
    <t xml:space="preserve">Saved; fees above admin maximum are refused</t>
  </si>
  <si>
    <t xml:space="preserve">6.5</t>
  </si>
  <si>
    <t xml:space="preserve">Add products</t>
  </si>
  <si>
    <t xml:space="preserve">Add 3 products: one simple, one with bulk prices, one Heavy parcel; with photos</t>
  </si>
  <si>
    <t xml:space="preserve">Each says 'waiting for review'</t>
  </si>
  <si>
    <t xml:space="preserve">6.6</t>
  </si>
  <si>
    <t xml:space="preserve">Coupon</t>
  </si>
  <si>
    <r>
      <rPr>
        <sz val="11"/>
        <color theme="1"/>
        <rFont val="Calibri"/>
        <family val="2"/>
        <charset val="1"/>
      </rPr>
      <t xml:space="preserve">Seller Center → Coupons: make TEST10 (10%, min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500)</t>
    </r>
  </si>
  <si>
    <t xml:space="preserve">Coupon listed</t>
  </si>
  <si>
    <t xml:space="preserve">6.7</t>
  </si>
  <si>
    <t xml:space="preserve">Get verified</t>
  </si>
  <si>
    <t xml:space="preserve">Seller Center → Get verified: upload an NID photo</t>
  </si>
  <si>
    <t xml:space="preserve">'Pending' status</t>
  </si>
  <si>
    <t xml:space="preserve">7. One-time seller (no account)</t>
  </si>
  <si>
    <t xml:space="preserve">7.1</t>
  </si>
  <si>
    <t xml:space="preserve">Free listing</t>
  </si>
  <si>
    <t xml:space="preserve">Private window → sell.html → list one item FREE</t>
  </si>
  <si>
    <t xml:space="preserve">Listing sent for review; phone hidden on the live listing</t>
  </si>
  <si>
    <t xml:space="preserve">One-time seller (private window)</t>
  </si>
  <si>
    <t xml:space="preserve">7.2</t>
  </si>
  <si>
    <t xml:space="preserve">Featured listing</t>
  </si>
  <si>
    <t xml:space="preserve">List a second item and choose Featured</t>
  </si>
  <si>
    <t xml:space="preserve">Shows fee and bKash/Nagad/Upay numbers; TrxID box</t>
  </si>
  <si>
    <t xml:space="preserve">7.3</t>
  </si>
  <si>
    <t xml:space="preserve">Pay (test)</t>
  </si>
  <si>
    <t xml:space="preserve">Send a small real payment or a test TrxID</t>
  </si>
  <si>
    <t xml:space="preserve">'Payment sent, waiting for check'</t>
  </si>
  <si>
    <t xml:space="preserve">8. Admin review and payments</t>
  </si>
  <si>
    <t xml:space="preserve">8.1</t>
  </si>
  <si>
    <t xml:space="preserve">Sign in as Master Admin</t>
  </si>
  <si>
    <t xml:space="preserve">Sign in with rgbkart@gmail.com → My account → ⚙ Admin dashboard</t>
  </si>
  <si>
    <t xml:space="preserve">Dashboard; status line shows 'Email alerts: … sent'</t>
  </si>
  <si>
    <t xml:space="preserve">8.2</t>
  </si>
  <si>
    <t xml:space="preserve">Approve products</t>
  </si>
  <si>
    <t xml:space="preserve">Admin → Products: approve 2, reject 1 with a note</t>
  </si>
  <si>
    <t xml:space="preserve">Seller gets alerts + emails</t>
  </si>
  <si>
    <t xml:space="preserve">8.3</t>
  </si>
  <si>
    <t xml:space="preserve">Verify payment</t>
  </si>
  <si>
    <t xml:space="preserve">Admin → Payments: verify the TrxID from 7.3</t>
  </si>
  <si>
    <t xml:space="preserve">Listing becomes Featured; call/WhatsApp now visible on it</t>
  </si>
  <si>
    <t xml:space="preserve">8.4</t>
  </si>
  <si>
    <t xml:space="preserve">Featured lock</t>
  </si>
  <si>
    <t xml:space="preserve">As the shop, try to edit the title/stock of a Featured product</t>
  </si>
  <si>
    <t xml:space="preserve">Those boxes are locked</t>
  </si>
  <si>
    <t xml:space="preserve">8.5</t>
  </si>
  <si>
    <t xml:space="preserve">Free Featured</t>
  </si>
  <si>
    <t xml:space="preserve">Admin → Products: Make Featured (free) on one product</t>
  </si>
  <si>
    <r>
      <rPr>
        <sz val="11"/>
        <color theme="1"/>
        <rFont val="Calibri"/>
        <family val="2"/>
        <charset val="1"/>
      </rPr>
      <t xml:space="preserve">Featured badge;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0 in reports</t>
    </r>
  </si>
  <si>
    <t xml:space="preserve">8.6</t>
  </si>
  <si>
    <t xml:space="preserve">Verify shop</t>
  </si>
  <si>
    <t xml:space="preserve">Admin → Verification: approve the NID from 6.7</t>
  </si>
  <si>
    <t xml:space="preserve">'✓ Verified shop' on store and product pages</t>
  </si>
  <si>
    <t xml:space="preserve">8.7</t>
  </si>
  <si>
    <t xml:space="preserve">Advert</t>
  </si>
  <si>
    <t xml:space="preserve">Seller Center → Advertise: book a 1-day ad; admin verifies payment</t>
  </si>
  <si>
    <t xml:space="preserve">Ad shows in its place on the site</t>
  </si>
  <si>
    <t xml:space="preserve">9. Buying (cash on delivery)</t>
  </si>
  <si>
    <t xml:space="preserve">9.1</t>
  </si>
  <si>
    <t xml:space="preserve">Add to cart</t>
  </si>
  <si>
    <t xml:space="preserve">As customer, add products from the test shop and one other shop</t>
  </si>
  <si>
    <t xml:space="preserve">Cart grouped by shop with delivery choice each</t>
  </si>
  <si>
    <t xml:space="preserve">9.2</t>
  </si>
  <si>
    <t xml:space="preserve">Bulk price</t>
  </si>
  <si>
    <t xml:space="preserve">Raise quantity past the bulk price step</t>
  </si>
  <si>
    <t xml:space="preserve">Lower unit price applied</t>
  </si>
  <si>
    <t xml:space="preserve">9.3</t>
  </si>
  <si>
    <r>
      <rPr>
        <sz val="11"/>
        <color theme="1"/>
        <rFont val="Calibri"/>
        <family val="2"/>
        <charset val="1"/>
      </rPr>
      <t xml:space="preserve">Enter TEST10 in the shop's box (under and over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500)</t>
    </r>
  </si>
  <si>
    <t xml:space="preserve">Refused under minimum; discount shown above it</t>
  </si>
  <si>
    <t xml:space="preserve">9.4</t>
  </si>
  <si>
    <t xml:space="preserve">Delivery rules</t>
  </si>
  <si>
    <t xml:space="preserve">Check Inside / Outside Dhaka / Pickup; the Heavy item</t>
  </si>
  <si>
    <t xml:space="preserve">Fees match the shop's; Heavy item only offers heavy methods</t>
  </si>
  <si>
    <t xml:space="preserve">9.5</t>
  </si>
  <si>
    <t xml:space="preserve">COD limit</t>
  </si>
  <si>
    <r>
      <rPr>
        <sz val="11"/>
        <color theme="1"/>
        <rFont val="Calibri"/>
        <family val="2"/>
        <charset val="1"/>
      </rPr>
      <t xml:space="preserve">Put a very expensive cart (over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20,000 first order)</t>
    </r>
  </si>
  <si>
    <t xml:space="preserve">Limit note and Place order disabled</t>
  </si>
  <si>
    <t xml:space="preserve">9.6</t>
  </si>
  <si>
    <t xml:space="preserve">Place order</t>
  </si>
  <si>
    <t xml:space="preserve">Choose saved address, place a normal order</t>
  </si>
  <si>
    <t xml:space="preserve">Order number(s), one per shop; stock goes down</t>
  </si>
  <si>
    <t xml:space="preserve">9.7</t>
  </si>
  <si>
    <t xml:space="preserve">Emails</t>
  </si>
  <si>
    <t xml:space="preserve">Check both inboxes within 5–10 min</t>
  </si>
  <si>
    <t xml:space="preserve">Customer: order placed; Shop: new order</t>
  </si>
  <si>
    <t xml:space="preserve">9.8</t>
  </si>
  <si>
    <t xml:space="preserve">Guest order</t>
  </si>
  <si>
    <t xml:space="preserve">Private window, order without an account</t>
  </si>
  <si>
    <t xml:space="preserve">Order placed with an anonymous sign-in</t>
  </si>
  <si>
    <t xml:space="preserve">10. Shop handles the order</t>
  </si>
  <si>
    <t xml:space="preserve">10.1</t>
  </si>
  <si>
    <t xml:space="preserve">See the order</t>
  </si>
  <si>
    <t xml:space="preserve">Seller Center → Orders</t>
  </si>
  <si>
    <t xml:space="preserve">New order card with buyer history (new / trusted / watch)</t>
  </si>
  <si>
    <t xml:space="preserve">10.2</t>
  </si>
  <si>
    <t xml:space="preserve">Move it along</t>
  </si>
  <si>
    <t xml:space="preserve">Confirm → Packed → Shipped → Delivered</t>
  </si>
  <si>
    <t xml:space="preserve">Customer sees each step on My orders and gets an alert each time</t>
  </si>
  <si>
    <t xml:space="preserve">10.3</t>
  </si>
  <si>
    <t xml:space="preserve">Print</t>
  </si>
  <si>
    <t xml:space="preserve">Print invoice, packing list and label; try Printer setup</t>
  </si>
  <si>
    <t xml:space="preserve">Correct paper size, logo, barcode, discount and VAT lines</t>
  </si>
  <si>
    <t xml:space="preserve">10.4</t>
  </si>
  <si>
    <t xml:space="preserve">Messages</t>
  </si>
  <si>
    <t xml:space="preserve">Customer messages the shop from the order; shop replies</t>
  </si>
  <si>
    <t xml:space="preserve">Both see the chat on Messages page; badge in header</t>
  </si>
  <si>
    <t xml:space="preserve">10.5</t>
  </si>
  <si>
    <t xml:space="preserve">Answer question</t>
  </si>
  <si>
    <t xml:space="preserve">Seller Center → Questions: answer the one from 4.4</t>
  </si>
  <si>
    <t xml:space="preserve">Answer shows on the product page</t>
  </si>
  <si>
    <t xml:space="preserve">11. After the order</t>
  </si>
  <si>
    <t xml:space="preserve">11.1</t>
  </si>
  <si>
    <t xml:space="preserve">Cancel (early)</t>
  </si>
  <si>
    <t xml:space="preserve">Customer places another order and cancels it at once with a reason</t>
  </si>
  <si>
    <t xml:space="preserve">Cancelled; stock returns; shop alerted</t>
  </si>
  <si>
    <t xml:space="preserve">11.2</t>
  </si>
  <si>
    <t xml:space="preserve">Ask to cancel (late)</t>
  </si>
  <si>
    <t xml:space="preserve">After the shop marks Packed, customer 'Ask the shop to cancel'</t>
  </si>
  <si>
    <t xml:space="preserve">Shop sees yellow box; Accept / Decline works</t>
  </si>
  <si>
    <t xml:space="preserve">11.3</t>
  </si>
  <si>
    <t xml:space="preserve">Review</t>
  </si>
  <si>
    <t xml:space="preserve">On the delivered order: Rate this order (product + shop)</t>
  </si>
  <si>
    <t xml:space="preserve">Stars on product, card and shop; shop gets alert</t>
  </si>
  <si>
    <t xml:space="preserve">11.4</t>
  </si>
  <si>
    <t xml:space="preserve">Seller reply</t>
  </si>
  <si>
    <t xml:space="preserve">Seller Center → Reviews: reply</t>
  </si>
  <si>
    <t xml:space="preserve">Customer gets 'The shop replied'</t>
  </si>
  <si>
    <t xml:space="preserve">11.5</t>
  </si>
  <si>
    <t xml:space="preserve">Return</t>
  </si>
  <si>
    <t xml:space="preserve">On the delivered item: Return this item, add a photo</t>
  </si>
  <si>
    <t xml:space="preserve">Shop → Returns: approve → received; stock back</t>
  </si>
  <si>
    <t xml:space="preserve">11.6</t>
  </si>
  <si>
    <t xml:space="preserve">Report a seller</t>
  </si>
  <si>
    <t xml:space="preserve">Customer reports the shop from the order</t>
  </si>
  <si>
    <t xml:space="preserve">Admin → Complaints shows it</t>
  </si>
  <si>
    <t xml:space="preserve">12. Admin tools</t>
  </si>
  <si>
    <t xml:space="preserve">12.1</t>
  </si>
  <si>
    <t xml:space="preserve">Home page sections</t>
  </si>
  <si>
    <t xml:space="preserve">Admin → Home page: rename, reorder, hide a section</t>
  </si>
  <si>
    <t xml:space="preserve">Home page changes</t>
  </si>
  <si>
    <t xml:space="preserve">12.2</t>
  </si>
  <si>
    <t xml:space="preserve">Admin → Main menu: add and remove a link</t>
  </si>
  <si>
    <t xml:space="preserve">Menu updates</t>
  </si>
  <si>
    <t xml:space="preserve">12.3</t>
  </si>
  <si>
    <t xml:space="preserve">Categories</t>
  </si>
  <si>
    <t xml:space="preserve">Admin → Categories: upload a picture, check Bangla name</t>
  </si>
  <si>
    <t xml:space="preserve">Picture shows on home</t>
  </si>
  <si>
    <t xml:space="preserve">12.4</t>
  </si>
  <si>
    <t xml:space="preserve">Featured &amp; ad rates</t>
  </si>
  <si>
    <r>
      <rPr>
        <sz val="11"/>
        <color theme="1"/>
        <rFont val="Calibri"/>
        <family val="2"/>
        <charset val="1"/>
      </rPr>
      <t xml:space="preserve">Check 7/15/30 days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20/35/50 and ad rates</t>
    </r>
  </si>
  <si>
    <t xml:space="preserve">Prices right; sellers see the same</t>
  </si>
  <si>
    <t xml:space="preserve">12.5</t>
  </si>
  <si>
    <t xml:space="preserve">Payment numbers</t>
  </si>
  <si>
    <t xml:space="preserve">Admin → Payments: check bKash/Nagad/Upay numbers</t>
  </si>
  <si>
    <t xml:space="preserve">Your real numbers</t>
  </si>
  <si>
    <t xml:space="preserve">12.6</t>
  </si>
  <si>
    <t xml:space="preserve">Orders settings</t>
  </si>
  <si>
    <t xml:space="preserve">Admin → Orders: COD limits, Cancellation rules, VAT (keep off), Delivery methods</t>
  </si>
  <si>
    <t xml:space="preserve">Values as you want them</t>
  </si>
  <si>
    <t xml:space="preserve">12.7</t>
  </si>
  <si>
    <t xml:space="preserve">Complaints &amp; Q&amp;A</t>
  </si>
  <si>
    <t xml:space="preserve">Admin → Complaints, Questions, Reviews, Returns</t>
  </si>
  <si>
    <t xml:space="preserve">Items from steps 4, 10, 11 listed; hide/close works</t>
  </si>
  <si>
    <t xml:space="preserve">12.8</t>
  </si>
  <si>
    <t xml:space="preserve">Users</t>
  </si>
  <si>
    <t xml:space="preserve">Admin → Users: filters; block then unblock the test customer</t>
  </si>
  <si>
    <t xml:space="preserve">Blocked person can't sign in; unblock restores</t>
  </si>
  <si>
    <t xml:space="preserve">12.9</t>
  </si>
  <si>
    <t xml:space="preserve">Team</t>
  </si>
  <si>
    <t xml:space="preserve">Admin → Team: check hkmanik@gmail.com is Co-admin</t>
  </si>
  <si>
    <t xml:space="preserve">Correct roles</t>
  </si>
  <si>
    <t xml:space="preserve">12.10</t>
  </si>
  <si>
    <t xml:space="preserve">Activity log</t>
  </si>
  <si>
    <t xml:space="preserve">Admin → Activity log</t>
  </si>
  <si>
    <t xml:space="preserve">Your admin actions from today listed</t>
  </si>
  <si>
    <t xml:space="preserve">12.11</t>
  </si>
  <si>
    <t xml:space="preserve">Reports</t>
  </si>
  <si>
    <t xml:space="preserve">Admin → Reports: this month; Download Excel</t>
  </si>
  <si>
    <t xml:space="preserve">File opens in Excel with Summary, Orders, Payments, Top shops/products</t>
  </si>
  <si>
    <t xml:space="preserve">12.12</t>
  </si>
  <si>
    <t xml:space="preserve">Pages &amp; policies</t>
  </si>
  <si>
    <t xml:space="preserve">Admin → Pages &amp; policies: fill [brackets], add Bangla</t>
  </si>
  <si>
    <t xml:space="preserve">Footer pages updated</t>
  </si>
  <si>
    <t xml:space="preserve">13. Phone and other checks</t>
  </si>
  <si>
    <t xml:space="preserve">13.1</t>
  </si>
  <si>
    <t xml:space="preserve">Phone look</t>
  </si>
  <si>
    <t xml:space="preserve">Repeat a few steps (home, product, cart, checkout) on a phone</t>
  </si>
  <si>
    <t xml:space="preserve">Nothing cut off; menu and buttons easy to tap</t>
  </si>
  <si>
    <t xml:space="preserve">13.2</t>
  </si>
  <si>
    <t xml:space="preserve">Add to home screen</t>
  </si>
  <si>
    <t xml:space="preserve">Phone browser → Add to Home screen</t>
  </si>
  <si>
    <t xml:space="preserve">RGBKart icon</t>
  </si>
  <si>
    <t xml:space="preserve">13.3</t>
  </si>
  <si>
    <t xml:space="preserve">Alerts page and bell</t>
  </si>
  <si>
    <t xml:space="preserve">Open Alerts; switch email alerts off and on</t>
  </si>
  <si>
    <t xml:space="preserve">Bell shows unread count; switch saves</t>
  </si>
  <si>
    <t xml:space="preserve">13.4</t>
  </si>
  <si>
    <t xml:space="preserve">Google</t>
  </si>
  <si>
    <t xml:space="preserve">Search 'rgbkart' on Google after a few days</t>
  </si>
  <si>
    <t xml:space="preserve">Site appears (can take 1–2 weeks)</t>
  </si>
  <si>
    <t xml:space="preserve">13.5</t>
  </si>
  <si>
    <t xml:space="preserve">Speed</t>
  </si>
  <si>
    <t xml:space="preserve">Note any page that feels slow</t>
  </si>
  <si>
    <t xml:space="preserve">Most pages open in 2–3 seconds</t>
  </si>
  <si>
    <t xml:space="preserve">14. Clean up after testing</t>
  </si>
  <si>
    <t xml:space="preserve">14.1</t>
  </si>
  <si>
    <t xml:space="preserve">Test orders</t>
  </si>
  <si>
    <t xml:space="preserve">Admin → Users: delete the test customer and the guest (or keep for demos)</t>
  </si>
  <si>
    <t xml:space="preserve">Their orders disappear</t>
  </si>
  <si>
    <t xml:space="preserve">14.2</t>
  </si>
  <si>
    <t xml:space="preserve">Test shop</t>
  </si>
  <si>
    <t xml:space="preserve">Delete or keep the support@rgbkart.com shop</t>
  </si>
  <si>
    <t xml:space="preserve">As you decide</t>
  </si>
  <si>
    <t xml:space="preserve">14.3</t>
  </si>
  <si>
    <t xml:space="preserve">Send me the list</t>
  </si>
  <si>
    <t xml:space="preserve">Send me this file with Fail / Not sure rows and notes</t>
  </si>
  <si>
    <t xml:space="preserve">I fix them one by one</t>
  </si>
  <si>
    <t xml:space="preserve">Progress</t>
  </si>
  <si>
    <t xml:space="preserve">Status</t>
  </si>
  <si>
    <t xml:space="preserve">Count</t>
  </si>
  <si>
    <t xml:space="preserve">Pass</t>
  </si>
  <si>
    <t xml:space="preserve">Fail</t>
  </si>
  <si>
    <t xml:space="preserve">Not sure</t>
  </si>
  <si>
    <t xml:space="preserve">Skip</t>
  </si>
  <si>
    <t xml:space="preserve">Not checked yet</t>
  </si>
  <si>
    <t xml:space="preserve">Total checks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</si>
</sst>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2"/>
      <color rgb="FF00802B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00802B"/>
      <name val="Cambria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4"/>
      <color rgb="FF00802B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802B"/>
        <bgColor rgb="FF008080"/>
      </patternFill>
    </fill>
    <fill>
      <patternFill patternType="solid">
        <fgColor rgb="FFF5C400"/>
        <bgColor rgb="FFFF9900"/>
      </patternFill>
    </fill>
    <fill>
      <patternFill patternType="solid">
        <fgColor rgb="FFE8F4EC"/>
        <bgColor rgb="FFECEFF1"/>
      </patternFill>
    </fill>
    <fill>
      <patternFill patternType="solid">
        <fgColor rgb="FFFFFD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E8F4EC"/>
          <bgColor rgb="FF000000"/>
        </patternFill>
      </fill>
    </dxf>
    <dxf>
      <fill>
        <patternFill patternType="solid">
          <fgColor rgb="FFF5C4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2B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>
          <bgColor rgb="FFDFF0E7"/>
        </patternFill>
      </fill>
    </dxf>
    <dxf>
      <fill>
        <patternFill>
          <bgColor rgb="FFF8E3E0"/>
        </patternFill>
      </fill>
    </dxf>
    <dxf>
      <fill>
        <patternFill>
          <bgColor rgb="FFFBEFD5"/>
        </patternFill>
      </fill>
    </dxf>
    <dxf>
      <fill>
        <patternFill>
          <bgColor rgb="FFECEFF1"/>
        </patternFill>
      </fill>
    </dxf>
  </dxf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2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0"/>
      <rgbColor rgb="FFDFF0E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C"/>
      <rgbColor rgb="FFECEFF1"/>
      <rgbColor rgb="FFFBEFD5"/>
      <rgbColor rgb="FF99CCFF"/>
      <rgbColor rgb="FFFF99CC"/>
      <rgbColor rgb="FFCC99FF"/>
      <rgbColor rgb="FFF8E3E0"/>
      <rgbColor rgb="FF3366FF"/>
      <rgbColor rgb="FF33CCCC"/>
      <rgbColor rgb="FF99CC00"/>
      <rgbColor rgb="FFF5C4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0613"/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4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41.7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6"/>
      <c r="G6" s="5"/>
    </row>
    <row r="7" customFormat="false" ht="28.35" hidden="false" customHeight="false" outlineLevel="0" collapsed="false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6"/>
      <c r="G7" s="5"/>
    </row>
    <row r="8" customFormat="false" ht="28.35" hidden="false" customHeight="false" outlineLevel="0" collapsed="false">
      <c r="A8" s="5" t="s">
        <v>20</v>
      </c>
      <c r="B8" s="5" t="s">
        <v>21</v>
      </c>
      <c r="C8" s="5" t="s">
        <v>22</v>
      </c>
      <c r="D8" s="5" t="s">
        <v>18</v>
      </c>
      <c r="E8" s="5" t="s">
        <v>23</v>
      </c>
      <c r="F8" s="6"/>
      <c r="G8" s="5"/>
    </row>
    <row r="9" customFormat="false" ht="28.35" hidden="false" customHeight="false" outlineLevel="0" collapsed="false">
      <c r="A9" s="5" t="s">
        <v>24</v>
      </c>
      <c r="B9" s="5" t="s">
        <v>25</v>
      </c>
      <c r="C9" s="5" t="s">
        <v>26</v>
      </c>
      <c r="D9" s="5" t="s">
        <v>27</v>
      </c>
      <c r="E9" s="5" t="s">
        <v>28</v>
      </c>
      <c r="F9" s="6"/>
      <c r="G9" s="5"/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6"/>
      <c r="G10" s="5"/>
    </row>
    <row r="11" customFormat="false" ht="15" hidden="false" customHeight="false" outlineLevel="0" collapsed="false">
      <c r="A11" s="5" t="s">
        <v>34</v>
      </c>
      <c r="B11" s="5" t="s">
        <v>35</v>
      </c>
      <c r="C11" s="5" t="s">
        <v>36</v>
      </c>
      <c r="D11" s="5" t="s">
        <v>32</v>
      </c>
      <c r="E11" s="5" t="s">
        <v>37</v>
      </c>
      <c r="F11" s="6"/>
      <c r="G11" s="5"/>
    </row>
    <row r="12" customFormat="false" ht="28.35" hidden="false" customHeight="false" outlineLevel="0" collapsed="false">
      <c r="A12" s="5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6"/>
      <c r="G12" s="5"/>
    </row>
    <row r="13" customFormat="false" ht="28.35" hidden="false" customHeight="false" outlineLevel="0" collapsed="false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6"/>
      <c r="G13" s="5"/>
    </row>
    <row r="15" customFormat="false" ht="15" hidden="false" customHeight="false" outlineLevel="0" collapsed="false">
      <c r="A15" s="3" t="s">
        <v>48</v>
      </c>
    </row>
    <row r="16" customFormat="false" ht="15" hidden="false" customHeight="false" outlineLevel="0" collapsed="false">
      <c r="A16" s="4" t="s">
        <v>3</v>
      </c>
      <c r="B16" s="4" t="s">
        <v>49</v>
      </c>
      <c r="C16" s="4" t="s">
        <v>50</v>
      </c>
      <c r="D16" s="4" t="s">
        <v>51</v>
      </c>
      <c r="E16" s="4" t="s">
        <v>52</v>
      </c>
      <c r="F16" s="4" t="s">
        <v>53</v>
      </c>
      <c r="G16" s="4" t="s">
        <v>8</v>
      </c>
    </row>
    <row r="17" customFormat="false" ht="28.35" hidden="false" customHeight="false" outlineLevel="0" collapsed="false">
      <c r="A17" s="5" t="s">
        <v>54</v>
      </c>
      <c r="B17" s="5" t="s">
        <v>55</v>
      </c>
      <c r="C17" s="5" t="s">
        <v>56</v>
      </c>
      <c r="D17" s="7" t="s">
        <v>57</v>
      </c>
      <c r="E17" s="5" t="s">
        <v>58</v>
      </c>
      <c r="F17" s="5" t="s">
        <v>59</v>
      </c>
      <c r="G17" s="6"/>
    </row>
    <row r="18" customFormat="false" ht="15" hidden="false" customHeight="false" outlineLevel="0" collapsed="false">
      <c r="A18" s="5" t="s">
        <v>60</v>
      </c>
      <c r="B18" s="5" t="s">
        <v>55</v>
      </c>
      <c r="C18" s="5" t="s">
        <v>61</v>
      </c>
      <c r="D18" s="7" t="s">
        <v>62</v>
      </c>
      <c r="E18" s="5" t="s">
        <v>63</v>
      </c>
      <c r="F18" s="5" t="s">
        <v>64</v>
      </c>
      <c r="G18" s="6"/>
    </row>
    <row r="19" customFormat="false" ht="15" hidden="false" customHeight="false" outlineLevel="0" collapsed="false">
      <c r="A19" s="5" t="s">
        <v>65</v>
      </c>
      <c r="B19" s="5" t="s">
        <v>55</v>
      </c>
      <c r="C19" s="5" t="s">
        <v>66</v>
      </c>
      <c r="D19" s="7" t="s">
        <v>67</v>
      </c>
      <c r="E19" s="5" t="s">
        <v>68</v>
      </c>
      <c r="F19" s="5" t="s">
        <v>69</v>
      </c>
      <c r="G19" s="6"/>
    </row>
    <row r="20" customFormat="false" ht="15" hidden="false" customHeight="false" outlineLevel="0" collapsed="false">
      <c r="A20" s="5" t="s">
        <v>70</v>
      </c>
      <c r="B20" s="5" t="s">
        <v>55</v>
      </c>
      <c r="C20" s="5" t="s">
        <v>71</v>
      </c>
      <c r="D20" s="7" t="s">
        <v>72</v>
      </c>
      <c r="E20" s="5" t="s">
        <v>73</v>
      </c>
      <c r="F20" s="5" t="s">
        <v>74</v>
      </c>
      <c r="G20" s="6"/>
    </row>
    <row r="21" customFormat="false" ht="15" hidden="false" customHeight="false" outlineLevel="0" collapsed="false">
      <c r="A21" s="5" t="s">
        <v>75</v>
      </c>
      <c r="B21" s="5" t="s">
        <v>55</v>
      </c>
      <c r="C21" s="5" t="s">
        <v>76</v>
      </c>
      <c r="D21" s="7" t="s">
        <v>77</v>
      </c>
      <c r="E21" s="5" t="s">
        <v>78</v>
      </c>
      <c r="F21" s="5" t="s">
        <v>79</v>
      </c>
      <c r="G21" s="6"/>
    </row>
    <row r="22" customFormat="false" ht="15" hidden="false" customHeight="false" outlineLevel="0" collapsed="false">
      <c r="A22" s="5" t="s">
        <v>80</v>
      </c>
      <c r="B22" s="5" t="s">
        <v>55</v>
      </c>
      <c r="C22" s="5" t="s">
        <v>81</v>
      </c>
      <c r="D22" s="7" t="s">
        <v>82</v>
      </c>
      <c r="E22" s="5" t="s">
        <v>83</v>
      </c>
      <c r="F22" s="5" t="s">
        <v>84</v>
      </c>
      <c r="G22" s="6"/>
    </row>
    <row r="23" customFormat="false" ht="15" hidden="false" customHeight="false" outlineLevel="0" collapsed="false">
      <c r="A23" s="5" t="s">
        <v>85</v>
      </c>
      <c r="B23" s="5" t="s">
        <v>55</v>
      </c>
      <c r="C23" s="5" t="s">
        <v>86</v>
      </c>
      <c r="D23" s="7" t="s">
        <v>87</v>
      </c>
      <c r="E23" s="5" t="s">
        <v>88</v>
      </c>
      <c r="F23" s="5" t="s">
        <v>89</v>
      </c>
      <c r="G23" s="6"/>
    </row>
    <row r="24" customFormat="false" ht="15" hidden="false" customHeight="false" outlineLevel="0" collapsed="false">
      <c r="A24" s="5" t="s">
        <v>90</v>
      </c>
      <c r="B24" s="5" t="s">
        <v>91</v>
      </c>
      <c r="C24" s="5" t="s">
        <v>92</v>
      </c>
      <c r="D24" s="7" t="s">
        <v>93</v>
      </c>
      <c r="E24" s="5" t="s">
        <v>94</v>
      </c>
      <c r="F24" s="5" t="s">
        <v>95</v>
      </c>
      <c r="G24" s="6"/>
    </row>
    <row r="25" customFormat="false" ht="15" hidden="false" customHeight="false" outlineLevel="0" collapsed="false">
      <c r="A25" s="5" t="s">
        <v>96</v>
      </c>
      <c r="B25" s="5" t="s">
        <v>91</v>
      </c>
      <c r="C25" s="5" t="s">
        <v>97</v>
      </c>
      <c r="D25" s="7" t="s">
        <v>98</v>
      </c>
      <c r="E25" s="5" t="s">
        <v>99</v>
      </c>
      <c r="F25" s="5" t="s">
        <v>100</v>
      </c>
      <c r="G25" s="6"/>
    </row>
    <row r="26" customFormat="false" ht="15" hidden="false" customHeight="false" outlineLevel="0" collapsed="false">
      <c r="A26" s="5" t="s">
        <v>101</v>
      </c>
      <c r="B26" s="5" t="s">
        <v>91</v>
      </c>
      <c r="C26" s="5" t="s">
        <v>102</v>
      </c>
      <c r="D26" s="7" t="s">
        <v>103</v>
      </c>
      <c r="E26" s="5" t="s">
        <v>104</v>
      </c>
      <c r="F26" s="5" t="s">
        <v>105</v>
      </c>
      <c r="G26" s="6"/>
    </row>
    <row r="27" customFormat="false" ht="15" hidden="false" customHeight="false" outlineLevel="0" collapsed="false">
      <c r="A27" s="5" t="s">
        <v>106</v>
      </c>
      <c r="B27" s="5" t="s">
        <v>91</v>
      </c>
      <c r="C27" s="5" t="s">
        <v>107</v>
      </c>
      <c r="D27" s="7" t="s">
        <v>108</v>
      </c>
      <c r="E27" s="5" t="s">
        <v>109</v>
      </c>
      <c r="F27" s="5" t="s">
        <v>110</v>
      </c>
      <c r="G27" s="6"/>
    </row>
    <row r="28" customFormat="false" ht="15" hidden="false" customHeight="false" outlineLevel="0" collapsed="false">
      <c r="A28" s="5" t="s">
        <v>111</v>
      </c>
      <c r="B28" s="5" t="s">
        <v>91</v>
      </c>
      <c r="C28" s="5" t="s">
        <v>112</v>
      </c>
      <c r="D28" s="7" t="s">
        <v>113</v>
      </c>
      <c r="E28" s="5" t="s">
        <v>114</v>
      </c>
      <c r="F28" s="5" t="s">
        <v>115</v>
      </c>
      <c r="G28" s="6"/>
    </row>
    <row r="29" customFormat="false" ht="15" hidden="false" customHeight="false" outlineLevel="0" collapsed="false">
      <c r="A29" s="5" t="s">
        <v>116</v>
      </c>
      <c r="B29" s="5" t="s">
        <v>117</v>
      </c>
      <c r="C29" s="5" t="s">
        <v>118</v>
      </c>
      <c r="D29" s="7" t="s">
        <v>119</v>
      </c>
      <c r="E29" s="5" t="s">
        <v>120</v>
      </c>
      <c r="F29" s="5" t="s">
        <v>121</v>
      </c>
      <c r="G29" s="6"/>
    </row>
    <row r="30" customFormat="false" ht="15" hidden="false" customHeight="false" outlineLevel="0" collapsed="false">
      <c r="A30" s="5" t="s">
        <v>122</v>
      </c>
      <c r="B30" s="5" t="s">
        <v>117</v>
      </c>
      <c r="C30" s="5" t="s">
        <v>123</v>
      </c>
      <c r="D30" s="7" t="s">
        <v>124</v>
      </c>
      <c r="E30" s="5" t="s">
        <v>125</v>
      </c>
      <c r="F30" s="5" t="s">
        <v>126</v>
      </c>
      <c r="G30" s="6"/>
    </row>
    <row r="31" customFormat="false" ht="28.35" hidden="false" customHeight="false" outlineLevel="0" collapsed="false">
      <c r="A31" s="5" t="s">
        <v>127</v>
      </c>
      <c r="B31" s="5" t="s">
        <v>117</v>
      </c>
      <c r="C31" s="5" t="s">
        <v>128</v>
      </c>
      <c r="D31" s="7" t="s">
        <v>129</v>
      </c>
      <c r="E31" s="5" t="s">
        <v>130</v>
      </c>
      <c r="F31" s="5" t="s">
        <v>131</v>
      </c>
      <c r="G31" s="6"/>
    </row>
    <row r="32" customFormat="false" ht="15" hidden="false" customHeight="false" outlineLevel="0" collapsed="false">
      <c r="A32" s="5" t="s">
        <v>132</v>
      </c>
      <c r="B32" s="5" t="s">
        <v>39</v>
      </c>
      <c r="C32" s="5" t="s">
        <v>133</v>
      </c>
      <c r="D32" s="7" t="s">
        <v>134</v>
      </c>
      <c r="E32" s="5" t="s">
        <v>135</v>
      </c>
      <c r="F32" s="5" t="s">
        <v>136</v>
      </c>
      <c r="G32" s="6"/>
    </row>
    <row r="33" customFormat="false" ht="28.35" hidden="false" customHeight="false" outlineLevel="0" collapsed="false">
      <c r="A33" s="5" t="s">
        <v>137</v>
      </c>
      <c r="B33" s="5" t="s">
        <v>39</v>
      </c>
      <c r="C33" s="5" t="s">
        <v>138</v>
      </c>
      <c r="D33" s="7" t="s">
        <v>139</v>
      </c>
      <c r="E33" s="5" t="s">
        <v>140</v>
      </c>
      <c r="F33" s="5" t="s">
        <v>141</v>
      </c>
      <c r="G33" s="6"/>
    </row>
    <row r="34" customFormat="false" ht="28.35" hidden="false" customHeight="false" outlineLevel="0" collapsed="false">
      <c r="A34" s="5" t="s">
        <v>142</v>
      </c>
      <c r="B34" s="5" t="s">
        <v>143</v>
      </c>
      <c r="C34" s="5" t="s">
        <v>144</v>
      </c>
      <c r="D34" s="7" t="s">
        <v>145</v>
      </c>
      <c r="E34" s="5" t="s">
        <v>146</v>
      </c>
      <c r="F34" s="5" t="s">
        <v>147</v>
      </c>
      <c r="G34" s="6"/>
    </row>
    <row r="35" customFormat="false" ht="15" hidden="false" customHeight="false" outlineLevel="0" collapsed="false">
      <c r="A35" s="5" t="s">
        <v>148</v>
      </c>
      <c r="B35" s="5" t="s">
        <v>44</v>
      </c>
      <c r="C35" s="5" t="s">
        <v>149</v>
      </c>
      <c r="D35" s="5" t="s">
        <v>150</v>
      </c>
      <c r="E35" s="5" t="s">
        <v>151</v>
      </c>
      <c r="F35" s="5" t="s">
        <v>152</v>
      </c>
      <c r="G35" s="6"/>
    </row>
    <row r="36" customFormat="false" ht="28.35" hidden="false" customHeight="false" outlineLevel="0" collapsed="false">
      <c r="A36" s="5" t="s">
        <v>153</v>
      </c>
      <c r="B36" s="5" t="s">
        <v>44</v>
      </c>
      <c r="C36" s="5" t="s">
        <v>149</v>
      </c>
      <c r="D36" s="5" t="s">
        <v>150</v>
      </c>
      <c r="E36" s="5" t="s">
        <v>154</v>
      </c>
      <c r="F36" s="5" t="s">
        <v>155</v>
      </c>
      <c r="G36" s="6"/>
    </row>
    <row r="38" customFormat="false" ht="15" hidden="false" customHeight="false" outlineLevel="0" collapsed="false">
      <c r="A38" s="8" t="s">
        <v>156</v>
      </c>
    </row>
    <row r="39" customFormat="false" ht="15" hidden="false" customHeight="true" outlineLevel="0" collapsed="false">
      <c r="A39" s="0" t="s">
        <v>157</v>
      </c>
      <c r="B39" s="9" t="s">
        <v>158</v>
      </c>
      <c r="C39" s="9"/>
      <c r="D39" s="9"/>
      <c r="E39" s="9"/>
      <c r="F39" s="9"/>
      <c r="G39" s="9"/>
    </row>
    <row r="40" customFormat="false" ht="15" hidden="false" customHeight="true" outlineLevel="0" collapsed="false">
      <c r="A40" s="0" t="s">
        <v>157</v>
      </c>
      <c r="B40" s="9" t="s">
        <v>159</v>
      </c>
      <c r="C40" s="9"/>
      <c r="D40" s="9"/>
      <c r="E40" s="9"/>
      <c r="F40" s="9"/>
      <c r="G40" s="9"/>
    </row>
    <row r="41" customFormat="false" ht="15" hidden="false" customHeight="true" outlineLevel="0" collapsed="false">
      <c r="A41" s="0" t="s">
        <v>157</v>
      </c>
      <c r="B41" s="9" t="s">
        <v>160</v>
      </c>
      <c r="C41" s="9"/>
      <c r="D41" s="9"/>
      <c r="E41" s="9"/>
      <c r="F41" s="9"/>
      <c r="G41" s="9"/>
    </row>
    <row r="42" customFormat="false" ht="15" hidden="false" customHeight="true" outlineLevel="0" collapsed="false">
      <c r="A42" s="0" t="s">
        <v>157</v>
      </c>
      <c r="B42" s="9" t="s">
        <v>161</v>
      </c>
      <c r="C42" s="9"/>
      <c r="D42" s="9"/>
      <c r="E42" s="9"/>
      <c r="F42" s="9"/>
      <c r="G42" s="9"/>
    </row>
    <row r="43" customFormat="false" ht="15" hidden="false" customHeight="true" outlineLevel="0" collapsed="false">
      <c r="A43" s="0" t="s">
        <v>157</v>
      </c>
      <c r="B43" s="9" t="s">
        <v>162</v>
      </c>
      <c r="C43" s="9"/>
      <c r="D43" s="9"/>
      <c r="E43" s="9"/>
      <c r="F43" s="9"/>
      <c r="G43" s="9"/>
    </row>
  </sheetData>
  <mergeCells count="7">
    <mergeCell ref="A1:G1"/>
    <mergeCell ref="A2:G2"/>
    <mergeCell ref="B39:G39"/>
    <mergeCell ref="B40:G40"/>
    <mergeCell ref="B41:G41"/>
    <mergeCell ref="B42:G42"/>
    <mergeCell ref="B43:G43"/>
  </mergeCells>
  <dataValidations count="1">
    <dataValidation allowBlank="true" errorStyle="stop" operator="between" showDropDown="false" showErrorMessage="false" showInputMessage="false" sqref="F6:F13 G17:G3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48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0" t="s">
        <v>163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164</v>
      </c>
      <c r="B2" s="11"/>
      <c r="C2" s="11"/>
      <c r="D2" s="11"/>
      <c r="E2" s="11"/>
      <c r="F2" s="11"/>
      <c r="G2" s="11"/>
    </row>
    <row r="3" customFormat="false" ht="15" hidden="false" customHeight="false" outlineLevel="0" collapsed="false">
      <c r="A3" s="12" t="s">
        <v>165</v>
      </c>
      <c r="B3" s="12" t="s">
        <v>166</v>
      </c>
      <c r="C3" s="12" t="s">
        <v>167</v>
      </c>
      <c r="D3" s="12" t="s">
        <v>168</v>
      </c>
      <c r="E3" s="12" t="s">
        <v>169</v>
      </c>
      <c r="F3" s="12" t="s">
        <v>170</v>
      </c>
      <c r="G3" s="12" t="s">
        <v>171</v>
      </c>
    </row>
    <row r="4" customFormat="false" ht="15" hidden="false" customHeight="false" outlineLevel="0" collapsed="false">
      <c r="A4" s="13" t="s">
        <v>172</v>
      </c>
      <c r="B4" s="13"/>
      <c r="C4" s="13"/>
      <c r="D4" s="13"/>
      <c r="E4" s="13"/>
      <c r="F4" s="13"/>
      <c r="G4" s="13"/>
    </row>
    <row r="5" customFormat="false" ht="28.35" hidden="false" customHeight="false" outlineLevel="0" collapsed="false">
      <c r="A5" s="5" t="s">
        <v>173</v>
      </c>
      <c r="B5" s="5" t="s">
        <v>174</v>
      </c>
      <c r="C5" s="5" t="s">
        <v>175</v>
      </c>
      <c r="D5" s="5" t="s">
        <v>176</v>
      </c>
      <c r="E5" s="5" t="s">
        <v>177</v>
      </c>
      <c r="F5" s="14"/>
      <c r="G5" s="5"/>
    </row>
    <row r="6" customFormat="false" ht="15" hidden="false" customHeight="false" outlineLevel="0" collapsed="false">
      <c r="A6" s="5" t="s">
        <v>178</v>
      </c>
      <c r="B6" s="5" t="s">
        <v>179</v>
      </c>
      <c r="C6" s="5" t="s">
        <v>180</v>
      </c>
      <c r="D6" s="5" t="s">
        <v>181</v>
      </c>
      <c r="E6" s="5" t="s">
        <v>177</v>
      </c>
      <c r="F6" s="14"/>
      <c r="G6" s="5"/>
    </row>
    <row r="7" customFormat="false" ht="28.35" hidden="false" customHeight="false" outlineLevel="0" collapsed="false">
      <c r="A7" s="5" t="s">
        <v>182</v>
      </c>
      <c r="B7" s="5" t="s">
        <v>183</v>
      </c>
      <c r="C7" s="5" t="s">
        <v>184</v>
      </c>
      <c r="D7" s="5" t="s">
        <v>185</v>
      </c>
      <c r="E7" s="5" t="s">
        <v>177</v>
      </c>
      <c r="F7" s="14"/>
      <c r="G7" s="5"/>
    </row>
    <row r="8" customFormat="false" ht="28.35" hidden="false" customHeight="false" outlineLevel="0" collapsed="false">
      <c r="A8" s="5" t="s">
        <v>186</v>
      </c>
      <c r="B8" s="5" t="s">
        <v>187</v>
      </c>
      <c r="C8" s="5" t="s">
        <v>188</v>
      </c>
      <c r="D8" s="5" t="s">
        <v>189</v>
      </c>
      <c r="E8" s="5" t="s">
        <v>177</v>
      </c>
      <c r="F8" s="14"/>
      <c r="G8" s="5"/>
    </row>
    <row r="9" customFormat="false" ht="15" hidden="false" customHeight="false" outlineLevel="0" collapsed="false">
      <c r="A9" s="5" t="s">
        <v>190</v>
      </c>
      <c r="B9" s="5" t="s">
        <v>191</v>
      </c>
      <c r="C9" s="5" t="s">
        <v>192</v>
      </c>
      <c r="D9" s="5" t="s">
        <v>193</v>
      </c>
      <c r="E9" s="5" t="s">
        <v>177</v>
      </c>
      <c r="F9" s="14"/>
      <c r="G9" s="5"/>
    </row>
    <row r="10" customFormat="false" ht="15" hidden="false" customHeight="false" outlineLevel="0" collapsed="false">
      <c r="A10" s="5" t="s">
        <v>194</v>
      </c>
      <c r="B10" s="5" t="s">
        <v>195</v>
      </c>
      <c r="C10" s="5" t="s">
        <v>196</v>
      </c>
      <c r="D10" s="5" t="s">
        <v>197</v>
      </c>
      <c r="E10" s="5" t="s">
        <v>177</v>
      </c>
      <c r="F10" s="14"/>
      <c r="G10" s="5"/>
    </row>
    <row r="11" customFormat="false" ht="28.35" hidden="false" customHeight="false" outlineLevel="0" collapsed="false">
      <c r="A11" s="5" t="s">
        <v>198</v>
      </c>
      <c r="B11" s="5" t="s">
        <v>199</v>
      </c>
      <c r="C11" s="5" t="s">
        <v>200</v>
      </c>
      <c r="D11" s="5" t="s">
        <v>201</v>
      </c>
      <c r="E11" s="5" t="s">
        <v>177</v>
      </c>
      <c r="F11" s="14"/>
      <c r="G11" s="5"/>
    </row>
    <row r="12" customFormat="false" ht="15" hidden="false" customHeight="false" outlineLevel="0" collapsed="false">
      <c r="A12" s="5" t="s">
        <v>202</v>
      </c>
      <c r="B12" s="5" t="s">
        <v>203</v>
      </c>
      <c r="C12" s="5" t="s">
        <v>204</v>
      </c>
      <c r="D12" s="5" t="s">
        <v>205</v>
      </c>
      <c r="E12" s="5" t="s">
        <v>177</v>
      </c>
      <c r="F12" s="14"/>
      <c r="G12" s="5"/>
    </row>
    <row r="13" customFormat="false" ht="15" hidden="false" customHeight="false" outlineLevel="0" collapsed="false">
      <c r="A13" s="13" t="s">
        <v>206</v>
      </c>
      <c r="B13" s="13"/>
      <c r="C13" s="13"/>
      <c r="D13" s="13"/>
      <c r="E13" s="13"/>
      <c r="F13" s="13"/>
      <c r="G13" s="13"/>
    </row>
    <row r="14" customFormat="false" ht="28.35" hidden="false" customHeight="false" outlineLevel="0" collapsed="false">
      <c r="A14" s="5" t="s">
        <v>207</v>
      </c>
      <c r="B14" s="5" t="s">
        <v>208</v>
      </c>
      <c r="C14" s="5" t="s">
        <v>209</v>
      </c>
      <c r="D14" s="5" t="s">
        <v>210</v>
      </c>
      <c r="E14" s="5" t="s">
        <v>177</v>
      </c>
      <c r="F14" s="14"/>
      <c r="G14" s="5"/>
    </row>
    <row r="15" customFormat="false" ht="28.35" hidden="false" customHeight="false" outlineLevel="0" collapsed="false">
      <c r="A15" s="5" t="s">
        <v>211</v>
      </c>
      <c r="B15" s="5" t="s">
        <v>212</v>
      </c>
      <c r="C15" s="5" t="s">
        <v>213</v>
      </c>
      <c r="D15" s="5" t="s">
        <v>214</v>
      </c>
      <c r="E15" s="5" t="s">
        <v>177</v>
      </c>
      <c r="F15" s="14"/>
      <c r="G15" s="5"/>
    </row>
    <row r="16" customFormat="false" ht="15" hidden="false" customHeight="false" outlineLevel="0" collapsed="false">
      <c r="A16" s="5" t="s">
        <v>215</v>
      </c>
      <c r="B16" s="5" t="s">
        <v>216</v>
      </c>
      <c r="C16" s="5" t="s">
        <v>217</v>
      </c>
      <c r="D16" s="5" t="s">
        <v>218</v>
      </c>
      <c r="E16" s="5" t="s">
        <v>177</v>
      </c>
      <c r="F16" s="14"/>
      <c r="G16" s="5"/>
    </row>
    <row r="17" customFormat="false" ht="15" hidden="false" customHeight="false" outlineLevel="0" collapsed="false">
      <c r="A17" s="13" t="s">
        <v>219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5" t="s">
        <v>220</v>
      </c>
      <c r="B18" s="5" t="s">
        <v>221</v>
      </c>
      <c r="C18" s="5" t="s">
        <v>222</v>
      </c>
      <c r="D18" s="5" t="s">
        <v>223</v>
      </c>
      <c r="E18" s="5" t="s">
        <v>177</v>
      </c>
      <c r="F18" s="14"/>
      <c r="G18" s="5"/>
    </row>
    <row r="19" customFormat="false" ht="28.35" hidden="false" customHeight="false" outlineLevel="0" collapsed="false">
      <c r="A19" s="5" t="s">
        <v>224</v>
      </c>
      <c r="B19" s="5" t="s">
        <v>225</v>
      </c>
      <c r="C19" s="5" t="s">
        <v>226</v>
      </c>
      <c r="D19" s="5" t="s">
        <v>227</v>
      </c>
      <c r="E19" s="5" t="s">
        <v>177</v>
      </c>
      <c r="F19" s="14"/>
      <c r="G19" s="5"/>
    </row>
    <row r="20" customFormat="false" ht="15" hidden="false" customHeight="false" outlineLevel="0" collapsed="false">
      <c r="A20" s="5" t="s">
        <v>228</v>
      </c>
      <c r="B20" s="5" t="s">
        <v>229</v>
      </c>
      <c r="C20" s="5" t="s">
        <v>230</v>
      </c>
      <c r="D20" s="5" t="s">
        <v>231</v>
      </c>
      <c r="E20" s="5" t="s">
        <v>177</v>
      </c>
      <c r="F20" s="14"/>
      <c r="G20" s="5"/>
    </row>
    <row r="21" customFormat="false" ht="28.35" hidden="false" customHeight="false" outlineLevel="0" collapsed="false">
      <c r="A21" s="5" t="s">
        <v>232</v>
      </c>
      <c r="B21" s="5" t="s">
        <v>233</v>
      </c>
      <c r="C21" s="5" t="s">
        <v>234</v>
      </c>
      <c r="D21" s="5" t="s">
        <v>235</v>
      </c>
      <c r="E21" s="5" t="s">
        <v>177</v>
      </c>
      <c r="F21" s="14"/>
      <c r="G21" s="5"/>
    </row>
    <row r="22" customFormat="false" ht="15" hidden="false" customHeight="false" outlineLevel="0" collapsed="false">
      <c r="A22" s="5" t="s">
        <v>236</v>
      </c>
      <c r="B22" s="5" t="s">
        <v>237</v>
      </c>
      <c r="C22" s="5" t="s">
        <v>238</v>
      </c>
      <c r="D22" s="5" t="s">
        <v>239</v>
      </c>
      <c r="E22" s="5" t="s">
        <v>177</v>
      </c>
      <c r="F22" s="14"/>
      <c r="G22" s="5"/>
    </row>
    <row r="23" customFormat="false" ht="15" hidden="false" customHeight="false" outlineLevel="0" collapsed="false">
      <c r="A23" s="13" t="s">
        <v>240</v>
      </c>
      <c r="B23" s="13"/>
      <c r="C23" s="13"/>
      <c r="D23" s="13"/>
      <c r="E23" s="13"/>
      <c r="F23" s="13"/>
      <c r="G23" s="13"/>
    </row>
    <row r="24" customFormat="false" ht="28.35" hidden="false" customHeight="false" outlineLevel="0" collapsed="false">
      <c r="A24" s="5" t="s">
        <v>241</v>
      </c>
      <c r="B24" s="5" t="s">
        <v>242</v>
      </c>
      <c r="C24" s="5" t="s">
        <v>243</v>
      </c>
      <c r="D24" s="5" t="s">
        <v>244</v>
      </c>
      <c r="E24" s="5" t="s">
        <v>177</v>
      </c>
      <c r="F24" s="14"/>
      <c r="G24" s="5"/>
    </row>
    <row r="25" customFormat="false" ht="28.35" hidden="false" customHeight="false" outlineLevel="0" collapsed="false">
      <c r="A25" s="5" t="s">
        <v>245</v>
      </c>
      <c r="B25" s="5" t="s">
        <v>246</v>
      </c>
      <c r="C25" s="5" t="s">
        <v>247</v>
      </c>
      <c r="D25" s="5" t="s">
        <v>248</v>
      </c>
      <c r="E25" s="5" t="s">
        <v>177</v>
      </c>
      <c r="F25" s="14"/>
      <c r="G25" s="5"/>
    </row>
    <row r="26" customFormat="false" ht="28.35" hidden="false" customHeight="false" outlineLevel="0" collapsed="false">
      <c r="A26" s="5" t="s">
        <v>249</v>
      </c>
      <c r="B26" s="5" t="s">
        <v>250</v>
      </c>
      <c r="C26" s="5" t="s">
        <v>251</v>
      </c>
      <c r="D26" s="5" t="s">
        <v>252</v>
      </c>
      <c r="E26" s="5" t="s">
        <v>177</v>
      </c>
      <c r="F26" s="14"/>
      <c r="G26" s="5"/>
    </row>
    <row r="27" customFormat="false" ht="15" hidden="false" customHeight="false" outlineLevel="0" collapsed="false">
      <c r="A27" s="5" t="s">
        <v>253</v>
      </c>
      <c r="B27" s="5" t="s">
        <v>254</v>
      </c>
      <c r="C27" s="5" t="s">
        <v>255</v>
      </c>
      <c r="D27" s="5" t="s">
        <v>256</v>
      </c>
      <c r="E27" s="5" t="s">
        <v>177</v>
      </c>
      <c r="F27" s="14"/>
      <c r="G27" s="5"/>
    </row>
    <row r="28" customFormat="false" ht="15" hidden="false" customHeight="false" outlineLevel="0" collapsed="false">
      <c r="A28" s="5" t="s">
        <v>257</v>
      </c>
      <c r="B28" s="5" t="s">
        <v>258</v>
      </c>
      <c r="C28" s="5" t="s">
        <v>259</v>
      </c>
      <c r="D28" s="5" t="s">
        <v>260</v>
      </c>
      <c r="E28" s="5" t="s">
        <v>177</v>
      </c>
      <c r="F28" s="14"/>
      <c r="G28" s="5"/>
    </row>
    <row r="29" customFormat="false" ht="28.35" hidden="false" customHeight="false" outlineLevel="0" collapsed="false">
      <c r="A29" s="5" t="s">
        <v>261</v>
      </c>
      <c r="B29" s="5" t="s">
        <v>262</v>
      </c>
      <c r="C29" s="5" t="s">
        <v>263</v>
      </c>
      <c r="D29" s="5" t="s">
        <v>264</v>
      </c>
      <c r="E29" s="5" t="s">
        <v>177</v>
      </c>
      <c r="F29" s="14"/>
      <c r="G29" s="5"/>
    </row>
    <row r="30" customFormat="false" ht="15" hidden="false" customHeight="false" outlineLevel="0" collapsed="false">
      <c r="A30" s="13" t="s">
        <v>265</v>
      </c>
      <c r="B30" s="13"/>
      <c r="C30" s="13"/>
      <c r="D30" s="13"/>
      <c r="E30" s="13"/>
      <c r="F30" s="13"/>
      <c r="G30" s="13"/>
    </row>
    <row r="31" customFormat="false" ht="28.35" hidden="false" customHeight="false" outlineLevel="0" collapsed="false">
      <c r="A31" s="5" t="s">
        <v>266</v>
      </c>
      <c r="B31" s="5" t="s">
        <v>267</v>
      </c>
      <c r="C31" s="5" t="s">
        <v>268</v>
      </c>
      <c r="D31" s="5" t="s">
        <v>269</v>
      </c>
      <c r="E31" s="5" t="s">
        <v>270</v>
      </c>
      <c r="F31" s="14"/>
      <c r="G31" s="5"/>
    </row>
    <row r="32" customFormat="false" ht="15" hidden="false" customHeight="false" outlineLevel="0" collapsed="false">
      <c r="A32" s="5" t="s">
        <v>271</v>
      </c>
      <c r="B32" s="5" t="s">
        <v>272</v>
      </c>
      <c r="C32" s="5" t="s">
        <v>273</v>
      </c>
      <c r="D32" s="5" t="s">
        <v>274</v>
      </c>
      <c r="E32" s="5" t="s">
        <v>270</v>
      </c>
      <c r="F32" s="14"/>
      <c r="G32" s="5"/>
    </row>
    <row r="33" customFormat="false" ht="15" hidden="false" customHeight="false" outlineLevel="0" collapsed="false">
      <c r="A33" s="5" t="s">
        <v>275</v>
      </c>
      <c r="B33" s="5" t="s">
        <v>276</v>
      </c>
      <c r="C33" s="5" t="s">
        <v>277</v>
      </c>
      <c r="D33" s="5" t="s">
        <v>278</v>
      </c>
      <c r="E33" s="5" t="s">
        <v>270</v>
      </c>
      <c r="F33" s="14"/>
      <c r="G33" s="5"/>
    </row>
    <row r="34" customFormat="false" ht="15" hidden="false" customHeight="false" outlineLevel="0" collapsed="false">
      <c r="A34" s="5" t="s">
        <v>279</v>
      </c>
      <c r="B34" s="5" t="s">
        <v>280</v>
      </c>
      <c r="C34" s="5" t="s">
        <v>281</v>
      </c>
      <c r="D34" s="5" t="s">
        <v>282</v>
      </c>
      <c r="E34" s="5" t="s">
        <v>270</v>
      </c>
      <c r="F34" s="14"/>
      <c r="G34" s="5"/>
    </row>
    <row r="35" customFormat="false" ht="15" hidden="false" customHeight="false" outlineLevel="0" collapsed="false">
      <c r="A35" s="5" t="s">
        <v>283</v>
      </c>
      <c r="B35" s="5" t="s">
        <v>284</v>
      </c>
      <c r="C35" s="5" t="s">
        <v>285</v>
      </c>
      <c r="D35" s="5" t="s">
        <v>286</v>
      </c>
      <c r="E35" s="5" t="s">
        <v>270</v>
      </c>
      <c r="F35" s="14"/>
      <c r="G35" s="5"/>
    </row>
    <row r="36" customFormat="false" ht="15" hidden="false" customHeight="false" outlineLevel="0" collapsed="false">
      <c r="A36" s="5" t="s">
        <v>287</v>
      </c>
      <c r="B36" s="5" t="s">
        <v>288</v>
      </c>
      <c r="C36" s="5" t="s">
        <v>289</v>
      </c>
      <c r="D36" s="5" t="s">
        <v>290</v>
      </c>
      <c r="E36" s="5" t="s">
        <v>270</v>
      </c>
      <c r="F36" s="14"/>
      <c r="G36" s="5"/>
    </row>
    <row r="37" customFormat="false" ht="15" hidden="false" customHeight="false" outlineLevel="0" collapsed="false">
      <c r="A37" s="13" t="s">
        <v>291</v>
      </c>
      <c r="B37" s="13"/>
      <c r="C37" s="13"/>
      <c r="D37" s="13"/>
      <c r="E37" s="13"/>
      <c r="F37" s="13"/>
      <c r="G37" s="13"/>
    </row>
    <row r="38" customFormat="false" ht="28.35" hidden="false" customHeight="false" outlineLevel="0" collapsed="false">
      <c r="A38" s="5" t="s">
        <v>292</v>
      </c>
      <c r="B38" s="5" t="s">
        <v>293</v>
      </c>
      <c r="C38" s="5" t="s">
        <v>294</v>
      </c>
      <c r="D38" s="5" t="s">
        <v>295</v>
      </c>
      <c r="E38" s="5" t="s">
        <v>296</v>
      </c>
      <c r="F38" s="14"/>
      <c r="G38" s="5"/>
    </row>
    <row r="39" customFormat="false" ht="15" hidden="false" customHeight="false" outlineLevel="0" collapsed="false">
      <c r="A39" s="5" t="s">
        <v>297</v>
      </c>
      <c r="B39" s="5" t="s">
        <v>298</v>
      </c>
      <c r="C39" s="5" t="s">
        <v>299</v>
      </c>
      <c r="D39" s="5" t="s">
        <v>300</v>
      </c>
      <c r="E39" s="5" t="s">
        <v>301</v>
      </c>
      <c r="F39" s="14"/>
      <c r="G39" s="5"/>
    </row>
    <row r="40" customFormat="false" ht="15" hidden="false" customHeight="false" outlineLevel="0" collapsed="false">
      <c r="A40" s="5" t="s">
        <v>302</v>
      </c>
      <c r="B40" s="5" t="s">
        <v>303</v>
      </c>
      <c r="C40" s="5" t="s">
        <v>304</v>
      </c>
      <c r="D40" s="5" t="s">
        <v>305</v>
      </c>
      <c r="E40" s="5" t="s">
        <v>296</v>
      </c>
      <c r="F40" s="14"/>
      <c r="G40" s="5"/>
    </row>
    <row r="41" customFormat="false" ht="28.35" hidden="false" customHeight="false" outlineLevel="0" collapsed="false">
      <c r="A41" s="5" t="s">
        <v>306</v>
      </c>
      <c r="B41" s="5" t="s">
        <v>307</v>
      </c>
      <c r="C41" s="5" t="s">
        <v>308</v>
      </c>
      <c r="D41" s="5" t="s">
        <v>309</v>
      </c>
      <c r="E41" s="5" t="s">
        <v>296</v>
      </c>
      <c r="F41" s="14"/>
      <c r="G41" s="5"/>
    </row>
    <row r="42" customFormat="false" ht="28.35" hidden="false" customHeight="false" outlineLevel="0" collapsed="false">
      <c r="A42" s="5" t="s">
        <v>310</v>
      </c>
      <c r="B42" s="5" t="s">
        <v>311</v>
      </c>
      <c r="C42" s="5" t="s">
        <v>312</v>
      </c>
      <c r="D42" s="5" t="s">
        <v>313</v>
      </c>
      <c r="E42" s="5" t="s">
        <v>296</v>
      </c>
      <c r="F42" s="14"/>
      <c r="G42" s="5"/>
    </row>
    <row r="43" customFormat="false" ht="15" hidden="false" customHeight="false" outlineLevel="0" collapsed="false">
      <c r="A43" s="5" t="s">
        <v>314</v>
      </c>
      <c r="B43" s="5" t="s">
        <v>315</v>
      </c>
      <c r="C43" s="5" t="s">
        <v>316</v>
      </c>
      <c r="D43" s="5" t="s">
        <v>317</v>
      </c>
      <c r="E43" s="5" t="s">
        <v>296</v>
      </c>
      <c r="F43" s="14"/>
      <c r="G43" s="5"/>
    </row>
    <row r="44" customFormat="false" ht="15" hidden="false" customHeight="false" outlineLevel="0" collapsed="false">
      <c r="A44" s="5" t="s">
        <v>318</v>
      </c>
      <c r="B44" s="5" t="s">
        <v>319</v>
      </c>
      <c r="C44" s="5" t="s">
        <v>320</v>
      </c>
      <c r="D44" s="5" t="s">
        <v>321</v>
      </c>
      <c r="E44" s="5" t="s">
        <v>296</v>
      </c>
      <c r="F44" s="14"/>
      <c r="G44" s="5"/>
    </row>
    <row r="45" customFormat="false" ht="15" hidden="false" customHeight="false" outlineLevel="0" collapsed="false">
      <c r="A45" s="13" t="s">
        <v>322</v>
      </c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A46" s="5" t="s">
        <v>323</v>
      </c>
      <c r="B46" s="5" t="s">
        <v>324</v>
      </c>
      <c r="C46" s="5" t="s">
        <v>325</v>
      </c>
      <c r="D46" s="5" t="s">
        <v>326</v>
      </c>
      <c r="E46" s="5" t="s">
        <v>327</v>
      </c>
      <c r="F46" s="14"/>
      <c r="G46" s="5"/>
    </row>
    <row r="47" customFormat="false" ht="15" hidden="false" customHeight="false" outlineLevel="0" collapsed="false">
      <c r="A47" s="5" t="s">
        <v>328</v>
      </c>
      <c r="B47" s="5" t="s">
        <v>329</v>
      </c>
      <c r="C47" s="5" t="s">
        <v>330</v>
      </c>
      <c r="D47" s="5" t="s">
        <v>331</v>
      </c>
      <c r="E47" s="5" t="s">
        <v>327</v>
      </c>
      <c r="F47" s="14"/>
      <c r="G47" s="5"/>
    </row>
    <row r="48" customFormat="false" ht="15" hidden="false" customHeight="false" outlineLevel="0" collapsed="false">
      <c r="A48" s="5" t="s">
        <v>332</v>
      </c>
      <c r="B48" s="5" t="s">
        <v>333</v>
      </c>
      <c r="C48" s="5" t="s">
        <v>334</v>
      </c>
      <c r="D48" s="5" t="s">
        <v>335</v>
      </c>
      <c r="E48" s="5" t="s">
        <v>327</v>
      </c>
      <c r="F48" s="14"/>
      <c r="G48" s="5"/>
    </row>
    <row r="49" customFormat="false" ht="15" hidden="false" customHeight="false" outlineLevel="0" collapsed="false">
      <c r="A49" s="13" t="s">
        <v>336</v>
      </c>
      <c r="B49" s="13"/>
      <c r="C49" s="13"/>
      <c r="D49" s="13"/>
      <c r="E49" s="13"/>
      <c r="F49" s="13"/>
      <c r="G49" s="13"/>
    </row>
    <row r="50" customFormat="false" ht="28.35" hidden="false" customHeight="false" outlineLevel="0" collapsed="false">
      <c r="A50" s="5" t="s">
        <v>337</v>
      </c>
      <c r="B50" s="5" t="s">
        <v>338</v>
      </c>
      <c r="C50" s="5" t="s">
        <v>339</v>
      </c>
      <c r="D50" s="5" t="s">
        <v>340</v>
      </c>
      <c r="E50" s="5" t="s">
        <v>301</v>
      </c>
      <c r="F50" s="14"/>
      <c r="G50" s="5"/>
    </row>
    <row r="51" customFormat="false" ht="15" hidden="false" customHeight="false" outlineLevel="0" collapsed="false">
      <c r="A51" s="5" t="s">
        <v>341</v>
      </c>
      <c r="B51" s="5" t="s">
        <v>342</v>
      </c>
      <c r="C51" s="5" t="s">
        <v>343</v>
      </c>
      <c r="D51" s="5" t="s">
        <v>344</v>
      </c>
      <c r="E51" s="5" t="s">
        <v>301</v>
      </c>
      <c r="F51" s="14"/>
      <c r="G51" s="5"/>
    </row>
    <row r="52" customFormat="false" ht="28.35" hidden="false" customHeight="false" outlineLevel="0" collapsed="false">
      <c r="A52" s="5" t="s">
        <v>345</v>
      </c>
      <c r="B52" s="5" t="s">
        <v>346</v>
      </c>
      <c r="C52" s="5" t="s">
        <v>347</v>
      </c>
      <c r="D52" s="5" t="s">
        <v>348</v>
      </c>
      <c r="E52" s="5" t="s">
        <v>301</v>
      </c>
      <c r="F52" s="14"/>
      <c r="G52" s="5"/>
    </row>
    <row r="53" customFormat="false" ht="15" hidden="false" customHeight="false" outlineLevel="0" collapsed="false">
      <c r="A53" s="5" t="s">
        <v>349</v>
      </c>
      <c r="B53" s="5" t="s">
        <v>350</v>
      </c>
      <c r="C53" s="5" t="s">
        <v>351</v>
      </c>
      <c r="D53" s="5" t="s">
        <v>352</v>
      </c>
      <c r="E53" s="5" t="s">
        <v>296</v>
      </c>
      <c r="F53" s="14"/>
      <c r="G53" s="5"/>
    </row>
    <row r="54" customFormat="false" ht="15" hidden="false" customHeight="false" outlineLevel="0" collapsed="false">
      <c r="A54" s="5" t="s">
        <v>353</v>
      </c>
      <c r="B54" s="5" t="s">
        <v>354</v>
      </c>
      <c r="C54" s="5" t="s">
        <v>355</v>
      </c>
      <c r="D54" s="5" t="s">
        <v>356</v>
      </c>
      <c r="E54" s="5" t="s">
        <v>301</v>
      </c>
      <c r="F54" s="14"/>
      <c r="G54" s="5"/>
    </row>
    <row r="55" customFormat="false" ht="15" hidden="false" customHeight="false" outlineLevel="0" collapsed="false">
      <c r="A55" s="5" t="s">
        <v>357</v>
      </c>
      <c r="B55" s="5" t="s">
        <v>358</v>
      </c>
      <c r="C55" s="5" t="s">
        <v>359</v>
      </c>
      <c r="D55" s="5" t="s">
        <v>360</v>
      </c>
      <c r="E55" s="5" t="s">
        <v>301</v>
      </c>
      <c r="F55" s="14"/>
      <c r="G55" s="5"/>
    </row>
    <row r="56" customFormat="false" ht="28.35" hidden="false" customHeight="false" outlineLevel="0" collapsed="false">
      <c r="A56" s="5" t="s">
        <v>361</v>
      </c>
      <c r="B56" s="5" t="s">
        <v>362</v>
      </c>
      <c r="C56" s="5" t="s">
        <v>363</v>
      </c>
      <c r="D56" s="5" t="s">
        <v>364</v>
      </c>
      <c r="E56" s="5" t="s">
        <v>296</v>
      </c>
      <c r="F56" s="14"/>
      <c r="G56" s="5"/>
    </row>
    <row r="57" customFormat="false" ht="15" hidden="false" customHeight="false" outlineLevel="0" collapsed="false">
      <c r="A57" s="13" t="s">
        <v>365</v>
      </c>
      <c r="B57" s="13"/>
      <c r="C57" s="13"/>
      <c r="D57" s="13"/>
      <c r="E57" s="13"/>
      <c r="F57" s="13"/>
      <c r="G57" s="13"/>
    </row>
    <row r="58" customFormat="false" ht="28.35" hidden="false" customHeight="false" outlineLevel="0" collapsed="false">
      <c r="A58" s="5" t="s">
        <v>366</v>
      </c>
      <c r="B58" s="5" t="s">
        <v>367</v>
      </c>
      <c r="C58" s="5" t="s">
        <v>368</v>
      </c>
      <c r="D58" s="5" t="s">
        <v>369</v>
      </c>
      <c r="E58" s="5" t="s">
        <v>270</v>
      </c>
      <c r="F58" s="14"/>
      <c r="G58" s="5"/>
    </row>
    <row r="59" customFormat="false" ht="15" hidden="false" customHeight="false" outlineLevel="0" collapsed="false">
      <c r="A59" s="5" t="s">
        <v>370</v>
      </c>
      <c r="B59" s="5" t="s">
        <v>371</v>
      </c>
      <c r="C59" s="5" t="s">
        <v>372</v>
      </c>
      <c r="D59" s="5" t="s">
        <v>373</v>
      </c>
      <c r="E59" s="5" t="s">
        <v>270</v>
      </c>
      <c r="F59" s="14"/>
      <c r="G59" s="5"/>
    </row>
    <row r="60" customFormat="false" ht="15" hidden="false" customHeight="false" outlineLevel="0" collapsed="false">
      <c r="A60" s="5" t="s">
        <v>374</v>
      </c>
      <c r="B60" s="5" t="s">
        <v>315</v>
      </c>
      <c r="C60" s="5" t="s">
        <v>375</v>
      </c>
      <c r="D60" s="5" t="s">
        <v>376</v>
      </c>
      <c r="E60" s="5" t="s">
        <v>270</v>
      </c>
      <c r="F60" s="14"/>
      <c r="G60" s="5"/>
    </row>
    <row r="61" customFormat="false" ht="28.35" hidden="false" customHeight="false" outlineLevel="0" collapsed="false">
      <c r="A61" s="5" t="s">
        <v>377</v>
      </c>
      <c r="B61" s="5" t="s">
        <v>378</v>
      </c>
      <c r="C61" s="5" t="s">
        <v>379</v>
      </c>
      <c r="D61" s="5" t="s">
        <v>380</v>
      </c>
      <c r="E61" s="5" t="s">
        <v>270</v>
      </c>
      <c r="F61" s="14"/>
      <c r="G61" s="5"/>
    </row>
    <row r="62" customFormat="false" ht="15" hidden="false" customHeight="false" outlineLevel="0" collapsed="false">
      <c r="A62" s="5" t="s">
        <v>381</v>
      </c>
      <c r="B62" s="5" t="s">
        <v>382</v>
      </c>
      <c r="C62" s="5" t="s">
        <v>383</v>
      </c>
      <c r="D62" s="5" t="s">
        <v>384</v>
      </c>
      <c r="E62" s="5" t="s">
        <v>270</v>
      </c>
      <c r="F62" s="14"/>
      <c r="G62" s="5"/>
    </row>
    <row r="63" customFormat="false" ht="15" hidden="false" customHeight="false" outlineLevel="0" collapsed="false">
      <c r="A63" s="5" t="s">
        <v>385</v>
      </c>
      <c r="B63" s="5" t="s">
        <v>386</v>
      </c>
      <c r="C63" s="5" t="s">
        <v>387</v>
      </c>
      <c r="D63" s="5" t="s">
        <v>388</v>
      </c>
      <c r="E63" s="5" t="s">
        <v>270</v>
      </c>
      <c r="F63" s="14"/>
      <c r="G63" s="5"/>
    </row>
    <row r="64" customFormat="false" ht="15" hidden="false" customHeight="false" outlineLevel="0" collapsed="false">
      <c r="A64" s="5" t="s">
        <v>389</v>
      </c>
      <c r="B64" s="5" t="s">
        <v>390</v>
      </c>
      <c r="C64" s="5" t="s">
        <v>391</v>
      </c>
      <c r="D64" s="5" t="s">
        <v>392</v>
      </c>
      <c r="E64" s="5" t="s">
        <v>270</v>
      </c>
      <c r="F64" s="14"/>
      <c r="G64" s="5"/>
    </row>
    <row r="65" customFormat="false" ht="15" hidden="false" customHeight="false" outlineLevel="0" collapsed="false">
      <c r="A65" s="5" t="s">
        <v>393</v>
      </c>
      <c r="B65" s="5" t="s">
        <v>394</v>
      </c>
      <c r="C65" s="5" t="s">
        <v>395</v>
      </c>
      <c r="D65" s="5" t="s">
        <v>396</v>
      </c>
      <c r="E65" s="5" t="s">
        <v>177</v>
      </c>
      <c r="F65" s="14"/>
      <c r="G65" s="5"/>
    </row>
    <row r="66" customFormat="false" ht="15" hidden="false" customHeight="false" outlineLevel="0" collapsed="false">
      <c r="A66" s="13" t="s">
        <v>397</v>
      </c>
      <c r="B66" s="13"/>
      <c r="C66" s="13"/>
      <c r="D66" s="13"/>
      <c r="E66" s="13"/>
      <c r="F66" s="13"/>
      <c r="G66" s="13"/>
    </row>
    <row r="67" customFormat="false" ht="28.35" hidden="false" customHeight="false" outlineLevel="0" collapsed="false">
      <c r="A67" s="5" t="s">
        <v>398</v>
      </c>
      <c r="B67" s="5" t="s">
        <v>399</v>
      </c>
      <c r="C67" s="5" t="s">
        <v>400</v>
      </c>
      <c r="D67" s="5" t="s">
        <v>401</v>
      </c>
      <c r="E67" s="5" t="s">
        <v>296</v>
      </c>
      <c r="F67" s="14"/>
      <c r="G67" s="5"/>
    </row>
    <row r="68" customFormat="false" ht="28.35" hidden="false" customHeight="false" outlineLevel="0" collapsed="false">
      <c r="A68" s="5" t="s">
        <v>402</v>
      </c>
      <c r="B68" s="5" t="s">
        <v>403</v>
      </c>
      <c r="C68" s="5" t="s">
        <v>404</v>
      </c>
      <c r="D68" s="5" t="s">
        <v>405</v>
      </c>
      <c r="E68" s="5" t="s">
        <v>296</v>
      </c>
      <c r="F68" s="14"/>
      <c r="G68" s="5"/>
    </row>
    <row r="69" customFormat="false" ht="28.35" hidden="false" customHeight="false" outlineLevel="0" collapsed="false">
      <c r="A69" s="5" t="s">
        <v>406</v>
      </c>
      <c r="B69" s="5" t="s">
        <v>407</v>
      </c>
      <c r="C69" s="5" t="s">
        <v>408</v>
      </c>
      <c r="D69" s="5" t="s">
        <v>409</v>
      </c>
      <c r="E69" s="5" t="s">
        <v>296</v>
      </c>
      <c r="F69" s="14"/>
      <c r="G69" s="5"/>
    </row>
    <row r="70" customFormat="false" ht="15" hidden="false" customHeight="false" outlineLevel="0" collapsed="false">
      <c r="A70" s="5" t="s">
        <v>410</v>
      </c>
      <c r="B70" s="5" t="s">
        <v>411</v>
      </c>
      <c r="C70" s="5" t="s">
        <v>412</v>
      </c>
      <c r="D70" s="5" t="s">
        <v>413</v>
      </c>
      <c r="E70" s="5" t="s">
        <v>270</v>
      </c>
      <c r="F70" s="14"/>
      <c r="G70" s="5"/>
    </row>
    <row r="71" customFormat="false" ht="15" hidden="false" customHeight="false" outlineLevel="0" collapsed="false">
      <c r="A71" s="5" t="s">
        <v>414</v>
      </c>
      <c r="B71" s="5" t="s">
        <v>415</v>
      </c>
      <c r="C71" s="5" t="s">
        <v>416</v>
      </c>
      <c r="D71" s="5" t="s">
        <v>417</v>
      </c>
      <c r="E71" s="5" t="s">
        <v>296</v>
      </c>
      <c r="F71" s="14"/>
      <c r="G71" s="5"/>
    </row>
    <row r="72" customFormat="false" ht="15" hidden="false" customHeight="false" outlineLevel="0" collapsed="false">
      <c r="A72" s="13" t="s">
        <v>418</v>
      </c>
      <c r="B72" s="13"/>
      <c r="C72" s="13"/>
      <c r="D72" s="13"/>
      <c r="E72" s="13"/>
      <c r="F72" s="13"/>
      <c r="G72" s="13"/>
    </row>
    <row r="73" customFormat="false" ht="28.35" hidden="false" customHeight="false" outlineLevel="0" collapsed="false">
      <c r="A73" s="5" t="s">
        <v>419</v>
      </c>
      <c r="B73" s="5" t="s">
        <v>420</v>
      </c>
      <c r="C73" s="5" t="s">
        <v>421</v>
      </c>
      <c r="D73" s="5" t="s">
        <v>422</v>
      </c>
      <c r="E73" s="5" t="s">
        <v>270</v>
      </c>
      <c r="F73" s="14"/>
      <c r="G73" s="5"/>
    </row>
    <row r="74" customFormat="false" ht="28.35" hidden="false" customHeight="false" outlineLevel="0" collapsed="false">
      <c r="A74" s="5" t="s">
        <v>423</v>
      </c>
      <c r="B74" s="5" t="s">
        <v>424</v>
      </c>
      <c r="C74" s="5" t="s">
        <v>425</v>
      </c>
      <c r="D74" s="5" t="s">
        <v>426</v>
      </c>
      <c r="E74" s="5" t="s">
        <v>270</v>
      </c>
      <c r="F74" s="14"/>
      <c r="G74" s="5"/>
    </row>
    <row r="75" customFormat="false" ht="15" hidden="false" customHeight="false" outlineLevel="0" collapsed="false">
      <c r="A75" s="5" t="s">
        <v>427</v>
      </c>
      <c r="B75" s="5" t="s">
        <v>428</v>
      </c>
      <c r="C75" s="5" t="s">
        <v>429</v>
      </c>
      <c r="D75" s="5" t="s">
        <v>430</v>
      </c>
      <c r="E75" s="5" t="s">
        <v>270</v>
      </c>
      <c r="F75" s="14"/>
      <c r="G75" s="5"/>
    </row>
    <row r="76" customFormat="false" ht="15" hidden="false" customHeight="false" outlineLevel="0" collapsed="false">
      <c r="A76" s="5" t="s">
        <v>431</v>
      </c>
      <c r="B76" s="5" t="s">
        <v>432</v>
      </c>
      <c r="C76" s="5" t="s">
        <v>433</v>
      </c>
      <c r="D76" s="5" t="s">
        <v>434</v>
      </c>
      <c r="E76" s="5" t="s">
        <v>296</v>
      </c>
      <c r="F76" s="14"/>
      <c r="G76" s="5"/>
    </row>
    <row r="77" customFormat="false" ht="15" hidden="false" customHeight="false" outlineLevel="0" collapsed="false">
      <c r="A77" s="5" t="s">
        <v>435</v>
      </c>
      <c r="B77" s="5" t="s">
        <v>436</v>
      </c>
      <c r="C77" s="5" t="s">
        <v>437</v>
      </c>
      <c r="D77" s="5" t="s">
        <v>438</v>
      </c>
      <c r="E77" s="5" t="s">
        <v>270</v>
      </c>
      <c r="F77" s="14"/>
      <c r="G77" s="5"/>
    </row>
    <row r="78" customFormat="false" ht="15" hidden="false" customHeight="false" outlineLevel="0" collapsed="false">
      <c r="A78" s="5" t="s">
        <v>439</v>
      </c>
      <c r="B78" s="5" t="s">
        <v>440</v>
      </c>
      <c r="C78" s="5" t="s">
        <v>441</v>
      </c>
      <c r="D78" s="5" t="s">
        <v>442</v>
      </c>
      <c r="E78" s="5" t="s">
        <v>270</v>
      </c>
      <c r="F78" s="14"/>
      <c r="G78" s="5"/>
    </row>
    <row r="79" customFormat="false" ht="15" hidden="false" customHeight="false" outlineLevel="0" collapsed="false">
      <c r="A79" s="13" t="s">
        <v>443</v>
      </c>
      <c r="B79" s="13"/>
      <c r="C79" s="13"/>
      <c r="D79" s="13"/>
      <c r="E79" s="13"/>
      <c r="F79" s="13"/>
      <c r="G79" s="13"/>
    </row>
    <row r="80" customFormat="false" ht="15" hidden="false" customHeight="false" outlineLevel="0" collapsed="false">
      <c r="A80" s="5" t="s">
        <v>444</v>
      </c>
      <c r="B80" s="5" t="s">
        <v>445</v>
      </c>
      <c r="C80" s="5" t="s">
        <v>446</v>
      </c>
      <c r="D80" s="5" t="s">
        <v>447</v>
      </c>
      <c r="E80" s="5" t="s">
        <v>301</v>
      </c>
      <c r="F80" s="14"/>
      <c r="G80" s="5"/>
    </row>
    <row r="81" customFormat="false" ht="15" hidden="false" customHeight="false" outlineLevel="0" collapsed="false">
      <c r="A81" s="5" t="s">
        <v>448</v>
      </c>
      <c r="B81" s="5" t="s">
        <v>195</v>
      </c>
      <c r="C81" s="5" t="s">
        <v>449</v>
      </c>
      <c r="D81" s="5" t="s">
        <v>450</v>
      </c>
      <c r="E81" s="5" t="s">
        <v>301</v>
      </c>
      <c r="F81" s="14"/>
      <c r="G81" s="5"/>
    </row>
    <row r="82" customFormat="false" ht="15" hidden="false" customHeight="false" outlineLevel="0" collapsed="false">
      <c r="A82" s="5" t="s">
        <v>451</v>
      </c>
      <c r="B82" s="5" t="s">
        <v>452</v>
      </c>
      <c r="C82" s="5" t="s">
        <v>453</v>
      </c>
      <c r="D82" s="5" t="s">
        <v>454</v>
      </c>
      <c r="E82" s="5" t="s">
        <v>301</v>
      </c>
      <c r="F82" s="14"/>
      <c r="G82" s="5"/>
    </row>
    <row r="83" customFormat="false" ht="15" hidden="false" customHeight="false" outlineLevel="0" collapsed="false">
      <c r="A83" s="5" t="s">
        <v>455</v>
      </c>
      <c r="B83" s="5" t="s">
        <v>456</v>
      </c>
      <c r="C83" s="5" t="s">
        <v>457</v>
      </c>
      <c r="D83" s="5" t="s">
        <v>458</v>
      </c>
      <c r="E83" s="5" t="s">
        <v>301</v>
      </c>
      <c r="F83" s="14"/>
      <c r="G83" s="5"/>
    </row>
    <row r="84" customFormat="false" ht="15" hidden="false" customHeight="false" outlineLevel="0" collapsed="false">
      <c r="A84" s="5" t="s">
        <v>459</v>
      </c>
      <c r="B84" s="5" t="s">
        <v>460</v>
      </c>
      <c r="C84" s="5" t="s">
        <v>461</v>
      </c>
      <c r="D84" s="5" t="s">
        <v>462</v>
      </c>
      <c r="E84" s="5" t="s">
        <v>301</v>
      </c>
      <c r="F84" s="14"/>
      <c r="G84" s="5"/>
    </row>
    <row r="85" customFormat="false" ht="28.35" hidden="false" customHeight="false" outlineLevel="0" collapsed="false">
      <c r="A85" s="5" t="s">
        <v>463</v>
      </c>
      <c r="B85" s="5" t="s">
        <v>464</v>
      </c>
      <c r="C85" s="5" t="s">
        <v>465</v>
      </c>
      <c r="D85" s="5" t="s">
        <v>466</v>
      </c>
      <c r="E85" s="5" t="s">
        <v>301</v>
      </c>
      <c r="F85" s="14"/>
      <c r="G85" s="5"/>
    </row>
    <row r="86" customFormat="false" ht="15" hidden="false" customHeight="false" outlineLevel="0" collapsed="false">
      <c r="A86" s="5" t="s">
        <v>467</v>
      </c>
      <c r="B86" s="5" t="s">
        <v>468</v>
      </c>
      <c r="C86" s="5" t="s">
        <v>469</v>
      </c>
      <c r="D86" s="5" t="s">
        <v>470</v>
      </c>
      <c r="E86" s="5" t="s">
        <v>301</v>
      </c>
      <c r="F86" s="14"/>
      <c r="G86" s="5"/>
    </row>
    <row r="87" customFormat="false" ht="28.35" hidden="false" customHeight="false" outlineLevel="0" collapsed="false">
      <c r="A87" s="5" t="s">
        <v>471</v>
      </c>
      <c r="B87" s="5" t="s">
        <v>472</v>
      </c>
      <c r="C87" s="5" t="s">
        <v>473</v>
      </c>
      <c r="D87" s="5" t="s">
        <v>474</v>
      </c>
      <c r="E87" s="5" t="s">
        <v>301</v>
      </c>
      <c r="F87" s="14"/>
      <c r="G87" s="5"/>
    </row>
    <row r="88" customFormat="false" ht="15" hidden="false" customHeight="false" outlineLevel="0" collapsed="false">
      <c r="A88" s="5" t="s">
        <v>475</v>
      </c>
      <c r="B88" s="5" t="s">
        <v>476</v>
      </c>
      <c r="C88" s="5" t="s">
        <v>477</v>
      </c>
      <c r="D88" s="5" t="s">
        <v>478</v>
      </c>
      <c r="E88" s="5" t="s">
        <v>301</v>
      </c>
      <c r="F88" s="14"/>
      <c r="G88" s="5"/>
    </row>
    <row r="89" customFormat="false" ht="15" hidden="false" customHeight="false" outlineLevel="0" collapsed="false">
      <c r="A89" s="5" t="s">
        <v>479</v>
      </c>
      <c r="B89" s="5" t="s">
        <v>480</v>
      </c>
      <c r="C89" s="5" t="s">
        <v>481</v>
      </c>
      <c r="D89" s="5" t="s">
        <v>482</v>
      </c>
      <c r="E89" s="5" t="s">
        <v>301</v>
      </c>
      <c r="F89" s="14"/>
      <c r="G89" s="5"/>
    </row>
    <row r="90" customFormat="false" ht="28.35" hidden="false" customHeight="false" outlineLevel="0" collapsed="false">
      <c r="A90" s="5" t="s">
        <v>483</v>
      </c>
      <c r="B90" s="5" t="s">
        <v>484</v>
      </c>
      <c r="C90" s="5" t="s">
        <v>485</v>
      </c>
      <c r="D90" s="5" t="s">
        <v>486</v>
      </c>
      <c r="E90" s="5" t="s">
        <v>301</v>
      </c>
      <c r="F90" s="14"/>
      <c r="G90" s="5"/>
    </row>
    <row r="91" customFormat="false" ht="15" hidden="false" customHeight="false" outlineLevel="0" collapsed="false">
      <c r="A91" s="5" t="s">
        <v>487</v>
      </c>
      <c r="B91" s="5" t="s">
        <v>488</v>
      </c>
      <c r="C91" s="5" t="s">
        <v>489</v>
      </c>
      <c r="D91" s="5" t="s">
        <v>490</v>
      </c>
      <c r="E91" s="5" t="s">
        <v>301</v>
      </c>
      <c r="F91" s="14"/>
      <c r="G91" s="5"/>
    </row>
    <row r="92" customFormat="false" ht="15" hidden="false" customHeight="false" outlineLevel="0" collapsed="false">
      <c r="A92" s="13" t="s">
        <v>491</v>
      </c>
      <c r="B92" s="13"/>
      <c r="C92" s="13"/>
      <c r="D92" s="13"/>
      <c r="E92" s="13"/>
      <c r="F92" s="13"/>
      <c r="G92" s="13"/>
    </row>
    <row r="93" customFormat="false" ht="28.35" hidden="false" customHeight="false" outlineLevel="0" collapsed="false">
      <c r="A93" s="5" t="s">
        <v>492</v>
      </c>
      <c r="B93" s="5" t="s">
        <v>493</v>
      </c>
      <c r="C93" s="5" t="s">
        <v>494</v>
      </c>
      <c r="D93" s="5" t="s">
        <v>495</v>
      </c>
      <c r="E93" s="5" t="s">
        <v>270</v>
      </c>
      <c r="F93" s="14"/>
      <c r="G93" s="5"/>
    </row>
    <row r="94" customFormat="false" ht="15" hidden="false" customHeight="false" outlineLevel="0" collapsed="false">
      <c r="A94" s="5" t="s">
        <v>496</v>
      </c>
      <c r="B94" s="5" t="s">
        <v>497</v>
      </c>
      <c r="C94" s="5" t="s">
        <v>498</v>
      </c>
      <c r="D94" s="5" t="s">
        <v>499</v>
      </c>
      <c r="E94" s="5" t="s">
        <v>270</v>
      </c>
      <c r="F94" s="14"/>
      <c r="G94" s="5"/>
    </row>
    <row r="95" customFormat="false" ht="15" hidden="false" customHeight="false" outlineLevel="0" collapsed="false">
      <c r="A95" s="5" t="s">
        <v>500</v>
      </c>
      <c r="B95" s="5" t="s">
        <v>501</v>
      </c>
      <c r="C95" s="5" t="s">
        <v>502</v>
      </c>
      <c r="D95" s="5" t="s">
        <v>503</v>
      </c>
      <c r="E95" s="5" t="s">
        <v>270</v>
      </c>
      <c r="F95" s="14"/>
      <c r="G95" s="5"/>
    </row>
    <row r="96" customFormat="false" ht="15" hidden="false" customHeight="false" outlineLevel="0" collapsed="false">
      <c r="A96" s="5" t="s">
        <v>504</v>
      </c>
      <c r="B96" s="5" t="s">
        <v>505</v>
      </c>
      <c r="C96" s="5" t="s">
        <v>506</v>
      </c>
      <c r="D96" s="5" t="s">
        <v>507</v>
      </c>
      <c r="E96" s="5" t="s">
        <v>177</v>
      </c>
      <c r="F96" s="14"/>
      <c r="G96" s="5"/>
    </row>
    <row r="97" customFormat="false" ht="15" hidden="false" customHeight="false" outlineLevel="0" collapsed="false">
      <c r="A97" s="5" t="s">
        <v>508</v>
      </c>
      <c r="B97" s="5" t="s">
        <v>509</v>
      </c>
      <c r="C97" s="5" t="s">
        <v>510</v>
      </c>
      <c r="D97" s="5" t="s">
        <v>511</v>
      </c>
      <c r="E97" s="5" t="s">
        <v>177</v>
      </c>
      <c r="F97" s="14"/>
      <c r="G97" s="5"/>
    </row>
    <row r="98" customFormat="false" ht="15" hidden="false" customHeight="false" outlineLevel="0" collapsed="false">
      <c r="A98" s="13" t="s">
        <v>512</v>
      </c>
      <c r="B98" s="13"/>
      <c r="C98" s="13"/>
      <c r="D98" s="13"/>
      <c r="E98" s="13"/>
      <c r="F98" s="13"/>
      <c r="G98" s="13"/>
    </row>
    <row r="99" customFormat="false" ht="28.35" hidden="false" customHeight="false" outlineLevel="0" collapsed="false">
      <c r="A99" s="5" t="s">
        <v>513</v>
      </c>
      <c r="B99" s="5" t="s">
        <v>514</v>
      </c>
      <c r="C99" s="5" t="s">
        <v>515</v>
      </c>
      <c r="D99" s="5" t="s">
        <v>516</v>
      </c>
      <c r="E99" s="5" t="s">
        <v>301</v>
      </c>
      <c r="F99" s="14"/>
      <c r="G99" s="5"/>
    </row>
    <row r="100" customFormat="false" ht="15" hidden="false" customHeight="false" outlineLevel="0" collapsed="false">
      <c r="A100" s="5" t="s">
        <v>517</v>
      </c>
      <c r="B100" s="5" t="s">
        <v>518</v>
      </c>
      <c r="C100" s="5" t="s">
        <v>519</v>
      </c>
      <c r="D100" s="5" t="s">
        <v>520</v>
      </c>
      <c r="E100" s="5" t="s">
        <v>301</v>
      </c>
      <c r="F100" s="14"/>
      <c r="G100" s="5"/>
    </row>
    <row r="101" customFormat="false" ht="15" hidden="false" customHeight="false" outlineLevel="0" collapsed="false">
      <c r="A101" s="5" t="s">
        <v>521</v>
      </c>
      <c r="B101" s="5" t="s">
        <v>522</v>
      </c>
      <c r="C101" s="5" t="s">
        <v>523</v>
      </c>
      <c r="D101" s="5" t="s">
        <v>524</v>
      </c>
      <c r="E101" s="5" t="s">
        <v>301</v>
      </c>
      <c r="F101" s="14"/>
      <c r="G101" s="5"/>
    </row>
  </sheetData>
  <autoFilter ref="A3:G101"/>
  <mergeCells count="16">
    <mergeCell ref="A1:G1"/>
    <mergeCell ref="A2:G2"/>
    <mergeCell ref="A4:G4"/>
    <mergeCell ref="A13:G13"/>
    <mergeCell ref="A17:G17"/>
    <mergeCell ref="A23:G23"/>
    <mergeCell ref="A30:G30"/>
    <mergeCell ref="A37:G37"/>
    <mergeCell ref="A45:G45"/>
    <mergeCell ref="A49:G49"/>
    <mergeCell ref="A57:G57"/>
    <mergeCell ref="A66:G66"/>
    <mergeCell ref="A72:G72"/>
    <mergeCell ref="A79:G79"/>
    <mergeCell ref="A92:G92"/>
    <mergeCell ref="A98:G98"/>
  </mergeCells>
  <conditionalFormatting sqref="F4:F101">
    <cfRule type="expression" priority="2" aboveAverage="0" equalAverage="0" bottom="0" percent="0" rank="0" text="" dxfId="6">
      <formula>$F4="Pass"</formula>
    </cfRule>
    <cfRule type="expression" priority="3" aboveAverage="0" equalAverage="0" bottom="0" percent="0" rank="0" text="" dxfId="7">
      <formula>$F4="Fail"</formula>
    </cfRule>
    <cfRule type="expression" priority="4" aboveAverage="0" equalAverage="0" bottom="0" percent="0" rank="0" text="" dxfId="8">
      <formula>$F4="Not sure"</formula>
    </cfRule>
    <cfRule type="expression" priority="5" aboveAverage="0" equalAverage="0" bottom="0" percent="0" rank="0" text="" dxfId="9">
      <formula>$F4="Skip"</formula>
    </cfRule>
  </conditionalFormatting>
  <dataValidations count="1">
    <dataValidation allowBlank="true" errorStyle="stop" operator="between" showDropDown="false" showErrorMessage="false" showInputMessage="false" sqref="F4:F101" type="list">
      <formula1>"Pass,Fail,Not sure,Skip"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5" t="s">
        <v>525</v>
      </c>
    </row>
    <row r="3" customFormat="false" ht="15" hidden="false" customHeight="false" outlineLevel="0" collapsed="false">
      <c r="A3" s="16" t="s">
        <v>526</v>
      </c>
      <c r="B3" s="16" t="s">
        <v>527</v>
      </c>
    </row>
    <row r="4" customFormat="false" ht="15" hidden="false" customHeight="false" outlineLevel="0" collapsed="false">
      <c r="A4" s="0" t="s">
        <v>528</v>
      </c>
      <c r="B4" s="0" t="n">
        <f aca="false">COUNTIF('Walk-through'!$F$4:$F$101,"Pass")</f>
        <v>0</v>
      </c>
    </row>
    <row r="5" customFormat="false" ht="15" hidden="false" customHeight="false" outlineLevel="0" collapsed="false">
      <c r="A5" s="0" t="s">
        <v>529</v>
      </c>
      <c r="B5" s="0" t="n">
        <f aca="false">COUNTIF('Walk-through'!$F$4:$F$101,"Fail")</f>
        <v>0</v>
      </c>
    </row>
    <row r="6" customFormat="false" ht="15" hidden="false" customHeight="false" outlineLevel="0" collapsed="false">
      <c r="A6" s="0" t="s">
        <v>530</v>
      </c>
      <c r="B6" s="0" t="n">
        <f aca="false">COUNTIF('Walk-through'!$F$4:$F$101,"Not sure")</f>
        <v>0</v>
      </c>
    </row>
    <row r="7" customFormat="false" ht="15" hidden="false" customHeight="false" outlineLevel="0" collapsed="false">
      <c r="A7" s="0" t="s">
        <v>531</v>
      </c>
      <c r="B7" s="0" t="n">
        <f aca="false">COUNTIF('Walk-through'!$F$4:$F$101,"Skip")</f>
        <v>0</v>
      </c>
    </row>
    <row r="8" customFormat="false" ht="15" hidden="false" customHeight="false" outlineLevel="0" collapsed="false">
      <c r="A8" s="0" t="s">
        <v>532</v>
      </c>
      <c r="B8" s="0" t="n">
        <f aca="false">COUNTIFS('Walk-through'!$C$4:$C$101,"&lt;&gt;",'Walk-through'!$F$4:$F$101,"")</f>
        <v>84</v>
      </c>
    </row>
    <row r="9" customFormat="false" ht="15" hidden="false" customHeight="false" outlineLevel="0" collapsed="false">
      <c r="A9" s="17" t="s">
        <v>533</v>
      </c>
      <c r="B9" s="17" t="n">
        <f aca="false">COUNTA('Walk-through'!$C$4:$C$101)</f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2026-10-23T14:52:59Z</dcterms:created>
  <dc:creator>openpyxl</dc:creator>
  <dc:description/>
  <dc:language>en-US</dc:language>
  <cp:lastModifiedBy/>
  <dcterms:modified xsi:type="dcterms:W3CDTF">2026-10-23T14:52:59Z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