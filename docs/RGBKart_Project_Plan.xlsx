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n" sheetId="1" state="visible" r:id="rId1"/>
    <sheet xmlns:r="http://schemas.openxmlformats.org/officeDocument/2006/relationships" name="Summary" sheetId="2" state="visible" r:id="rId2"/>
  </sheets>
  <definedNames>
    <definedName name="_xlnm._FilterDatabase" localSheetId="0" hidden="1">'Plan'!$A$4:$J$83</definedName>
  </definedNames>
  <calcPr calcId="124519" fullCalcOnLoad="1"/>
</workbook>
</file>

<file path=xl/styles.xml><?xml version="1.0" encoding="utf-8"?>
<styleSheet xmlns="http://schemas.openxmlformats.org/spreadsheetml/2006/main">
  <numFmts count="2">
    <numFmt numFmtId="164" formatCode="yyyy-mm-dd"/>
    <numFmt numFmtId="165" formatCode="dd-mmm-yyyy"/>
  </numFmts>
  <fonts count="6">
    <font>
      <name val="Calibri"/>
      <family val="2"/>
      <color theme="1"/>
      <sz val="11"/>
      <scheme val="minor"/>
    </font>
    <font>
      <name val="Arial"/>
      <b val="1"/>
      <sz val="14"/>
    </font>
    <font>
      <name val="Arial"/>
      <i val="1"/>
      <color rgb="005F6B74"/>
      <sz val="9"/>
    </font>
    <font>
      <name val="Arial"/>
      <b val="1"/>
      <color rgb="00FFFFFF"/>
    </font>
    <font>
      <name val="Arial"/>
      <sz val="10"/>
    </font>
    <font>
      <name val="Arial"/>
      <b val="1"/>
      <sz val="10"/>
    </font>
  </fonts>
  <fills count="5">
    <fill>
      <patternFill/>
    </fill>
    <fill>
      <patternFill patternType="gray125"/>
    </fill>
    <fill>
      <patternFill patternType="solid">
        <fgColor rgb="0024527A"/>
      </patternFill>
    </fill>
    <fill>
      <patternFill patternType="solid">
        <fgColor rgb="00FFF8DC"/>
      </patternFill>
    </fill>
    <fill>
      <patternFill patternType="solid">
        <fgColor rgb="00F3F6F9"/>
      </patternFill>
    </fill>
  </fills>
  <borders count="2">
    <border>
      <left/>
      <right/>
      <top/>
      <bottom/>
      <diagonal/>
    </border>
    <border>
      <bottom style="thin">
        <color rgb="00D0D5DA"/>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4" fillId="0" borderId="1" applyAlignment="1" pivotButton="0" quotePrefix="0" xfId="0">
      <alignment vertical="top"/>
    </xf>
    <xf numFmtId="0" fontId="4" fillId="3" borderId="1" applyAlignment="1" pivotButton="0" quotePrefix="0" xfId="0">
      <alignment vertical="top"/>
    </xf>
    <xf numFmtId="165" fontId="4" fillId="3" borderId="1" applyAlignment="1" pivotButton="0" quotePrefix="0" xfId="0">
      <alignment vertical="top"/>
    </xf>
    <xf numFmtId="1" fontId="4" fillId="0" borderId="1" applyAlignment="1" pivotButton="0" quotePrefix="0" xfId="0">
      <alignment vertical="top"/>
    </xf>
    <xf numFmtId="0" fontId="4" fillId="3" borderId="1" applyAlignment="1" pivotButton="0" quotePrefix="0" xfId="0">
      <alignment vertical="top" wrapText="1"/>
    </xf>
    <xf numFmtId="0" fontId="4" fillId="4" borderId="1" applyAlignment="1" pivotButton="0" quotePrefix="0" xfId="0">
      <alignment horizontal="center" vertical="top"/>
    </xf>
    <xf numFmtId="0" fontId="4" fillId="4" borderId="1" applyAlignment="1" pivotButton="0" quotePrefix="0" xfId="0">
      <alignment vertical="top" wrapText="1"/>
    </xf>
    <xf numFmtId="0" fontId="4" fillId="4" borderId="1" applyAlignment="1" pivotButton="0" quotePrefix="0" xfId="0">
      <alignment vertical="top"/>
    </xf>
    <xf numFmtId="1" fontId="4" fillId="4" borderId="1" applyAlignment="1" pivotButton="0" quotePrefix="0" xfId="0">
      <alignment vertical="top"/>
    </xf>
    <xf numFmtId="0" fontId="4" fillId="0" borderId="1" pivotButton="0" quotePrefix="0" xfId="0"/>
    <xf numFmtId="9" fontId="4" fillId="0" borderId="1" pivotButton="0" quotePrefix="0" xfId="0"/>
    <xf numFmtId="165" fontId="4" fillId="0" borderId="1" pivotButton="0" quotePrefix="0" xfId="0"/>
    <xf numFmtId="0" fontId="5" fillId="0" borderId="1" pivotButton="0" quotePrefix="0" xfId="0"/>
    <xf numFmtId="9" fontId="5" fillId="0" borderId="1" pivotButton="0" quotePrefix="0" xfId="0"/>
  </cellXfs>
  <cellStyles count="1">
    <cellStyle name="Normal" xfId="0" builtinId="0" hidden="0"/>
  </cellStyles>
  <dxfs count="4">
    <dxf>
      <font>
        <name val="Arial"/>
        <b val="1"/>
        <color rgb="001F6B4F"/>
      </font>
      <fill>
        <patternFill patternType="solid">
          <fgColor rgb="00DFF0E7"/>
          <bgColor rgb="00DFF0E7"/>
        </patternFill>
      </fill>
    </dxf>
    <dxf>
      <font>
        <name val="Arial"/>
        <b val="1"/>
        <color rgb="008A5A00"/>
      </font>
      <fill>
        <patternFill patternType="solid">
          <fgColor rgb="00FBEFD5"/>
          <bgColor rgb="00FBEFD5"/>
        </patternFill>
      </fill>
    </dxf>
    <dxf>
      <font>
        <name val="Arial"/>
        <b val="1"/>
        <color rgb="00A3322A"/>
      </font>
      <fill>
        <patternFill patternType="solid">
          <fgColor rgb="00F8E3E0"/>
          <bgColor rgb="00F8E3E0"/>
        </patternFill>
      </fill>
    </dxf>
    <dxf>
      <font>
        <name val="Arial"/>
        <b val="1"/>
        <color rgb="0078858F"/>
      </font>
      <fill>
        <patternFill patternType="solid">
          <fgColor rgb="00ECEFF1"/>
          <bgColor rgb="00ECEFF1"/>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Claude</author>
  </authors>
  <commentList>
    <comment ref="I4" authorId="0" shapeId="0">
      <text>
        <t>End date − Start date + 1 (calendar days, inclusive). Blank until both dates are filled.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J83"/>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6" customWidth="1" min="3" max="3"/>
    <col width="28" customWidth="1" min="4" max="4"/>
    <col width="52" customWidth="1" min="5" max="5"/>
    <col width="13" customWidth="1" min="6" max="6"/>
    <col width="13" customWidth="1" min="7" max="7"/>
    <col width="13" customWidth="1" min="8" max="8"/>
    <col width="7" customWidth="1" min="9" max="9"/>
    <col width="48" customWidth="1" min="10" max="10"/>
  </cols>
  <sheetData>
    <row r="1">
      <c r="A1" s="1" t="inlineStr">
        <is>
          <t>RGBKart Marketplace – Project Plan</t>
        </is>
      </c>
    </row>
    <row r="2">
      <c r="A2" s="2" t="inlineStr">
        <is>
          <t>How to use: update Status, Start date, End date and Remarks (cream-coloured cells). Days and the Summary tab update themselves. Phase 0 rows show the expected format.</t>
        </is>
      </c>
    </row>
    <row r="4">
      <c r="A4" s="3" t="inlineStr">
        <is>
          <t>Phase</t>
        </is>
      </c>
      <c r="B4" s="3" t="inlineStr">
        <is>
          <t>Phase name</t>
        </is>
      </c>
      <c r="C4" s="3" t="inlineStr">
        <is>
          <t>ID</t>
        </is>
      </c>
      <c r="D4" s="3" t="inlineStr">
        <is>
          <t>Sub-phase</t>
        </is>
      </c>
      <c r="E4" s="3" t="inlineStr">
        <is>
          <t>What gets built</t>
        </is>
      </c>
      <c r="F4" s="3" t="inlineStr">
        <is>
          <t>Status</t>
        </is>
      </c>
      <c r="G4" s="3" t="inlineStr">
        <is>
          <t>Start date</t>
        </is>
      </c>
      <c r="H4" s="3" t="inlineStr">
        <is>
          <t>End date</t>
        </is>
      </c>
      <c r="I4" s="3" t="inlineStr">
        <is>
          <t>Days</t>
        </is>
      </c>
      <c r="J4" s="3" t="inlineStr">
        <is>
          <t>Remarks</t>
        </is>
      </c>
    </row>
    <row r="5">
      <c r="A5" s="4" t="n">
        <v>0</v>
      </c>
      <c r="B5" s="5" t="inlineStr">
        <is>
          <t>Foundation (accounts &amp; admin)</t>
        </is>
      </c>
      <c r="C5" s="6" t="inlineStr">
        <is>
          <t>0.1</t>
        </is>
      </c>
      <c r="D5" s="5" t="inlineStr">
        <is>
          <t>Supabase project &amp; keys</t>
        </is>
      </c>
      <c r="E5" s="5" t="inlineStr">
        <is>
          <t>Project created; project URL and publishable key connected to the app</t>
        </is>
      </c>
      <c r="F5" s="7" t="inlineStr">
        <is>
          <t>Done</t>
        </is>
      </c>
      <c r="G5" s="8" t="n">
        <v>46317</v>
      </c>
      <c r="H5" s="8" t="n">
        <v>46317</v>
      </c>
      <c r="I5" s="9">
        <f>IF(AND(G5&lt;&gt;"",H5&lt;&gt;""),H5-G5+1,"")</f>
        <v/>
      </c>
      <c r="J5" s="10" t="inlineStr">
        <is>
          <t>Done 22 Oct 2026</t>
        </is>
      </c>
    </row>
    <row r="6">
      <c r="A6" s="4" t="n">
        <v>0</v>
      </c>
      <c r="B6" s="5" t="inlineStr">
        <is>
          <t>Foundation (accounts &amp; admin)</t>
        </is>
      </c>
      <c r="C6" s="6" t="inlineStr">
        <is>
          <t>0.2</t>
        </is>
      </c>
      <c r="D6" s="5" t="inlineStr">
        <is>
          <t>Email sign-up &amp; sign-in</t>
        </is>
      </c>
      <c r="E6" s="5" t="inlineStr">
        <is>
          <t>Create account, sign in, sign out with email + password</t>
        </is>
      </c>
      <c r="F6" s="7" t="inlineStr">
        <is>
          <t>Done</t>
        </is>
      </c>
      <c r="G6" s="8" t="n">
        <v>46317</v>
      </c>
      <c r="H6" s="8" t="n">
        <v>46317</v>
      </c>
      <c r="I6" s="9">
        <f>IF(AND(G6&lt;&gt;"",H6&lt;&gt;""),H6-G6+1,"")</f>
        <v/>
      </c>
      <c r="J6" s="10" t="inlineStr"/>
    </row>
    <row r="7">
      <c r="A7" s="4" t="n">
        <v>0</v>
      </c>
      <c r="B7" s="5" t="inlineStr">
        <is>
          <t>Foundation (accounts &amp; admin)</t>
        </is>
      </c>
      <c r="C7" s="6" t="inlineStr">
        <is>
          <t>0.3</t>
        </is>
      </c>
      <c r="D7" s="5" t="inlineStr">
        <is>
          <t>Forgot password</t>
        </is>
      </c>
      <c r="E7" s="5" t="inlineStr">
        <is>
          <t>Reset link by email and 'Set a new password' screen</t>
        </is>
      </c>
      <c r="F7" s="7" t="inlineStr">
        <is>
          <t>Done</t>
        </is>
      </c>
      <c r="G7" s="8" t="n">
        <v>46317</v>
      </c>
      <c r="H7" s="8" t="n">
        <v>46317</v>
      </c>
      <c r="I7" s="9">
        <f>IF(AND(G7&lt;&gt;"",H7&lt;&gt;""),H7-G7+1,"")</f>
        <v/>
      </c>
      <c r="J7" s="10" t="inlineStr">
        <is>
          <t>Works only when the site runs from a web address (localhost or domain)</t>
        </is>
      </c>
    </row>
    <row r="8">
      <c r="A8" s="4" t="n">
        <v>0</v>
      </c>
      <c r="B8" s="5" t="inlineStr">
        <is>
          <t>Foundation (accounts &amp; admin)</t>
        </is>
      </c>
      <c r="C8" s="6" t="inlineStr">
        <is>
          <t>0.4</t>
        </is>
      </c>
      <c r="D8" s="5" t="inlineStr">
        <is>
          <t>Google &amp; Facebook sign-in</t>
        </is>
      </c>
      <c r="E8" s="5" t="inlineStr">
        <is>
          <t>Buttons built; provider apps must be configured</t>
        </is>
      </c>
      <c r="F8" s="7" t="inlineStr">
        <is>
          <t>In progress</t>
        </is>
      </c>
      <c r="G8" s="8" t="n">
        <v>46317</v>
      </c>
      <c r="H8" s="8" t="n"/>
      <c r="I8" s="9">
        <f>IF(AND(G8&lt;&gt;"",H8&lt;&gt;""),H8-G8+1,"")</f>
        <v/>
      </c>
      <c r="J8" s="10" t="inlineStr">
        <is>
          <t>Code done. To do: Google Cloud OAuth client, Meta app, enable both in Supabase, set Site URL + Redirect URLs</t>
        </is>
      </c>
    </row>
    <row r="9">
      <c r="A9" s="4" t="n">
        <v>0</v>
      </c>
      <c r="B9" s="5" t="inlineStr">
        <is>
          <t>Foundation (accounts &amp; admin)</t>
        </is>
      </c>
      <c r="C9" s="6" t="inlineStr">
        <is>
          <t>0.5</t>
        </is>
      </c>
      <c r="D9" s="5" t="inlineStr">
        <is>
          <t>Customer &amp; Seller sign-up</t>
        </is>
      </c>
      <c r="E9" s="5" t="inlineStr">
        <is>
          <t>Separate forms; sellers start as 'Pending approval'</t>
        </is>
      </c>
      <c r="F9" s="7" t="inlineStr">
        <is>
          <t>Done</t>
        </is>
      </c>
      <c r="G9" s="8" t="n">
        <v>46317</v>
      </c>
      <c r="H9" s="8" t="n">
        <v>46317</v>
      </c>
      <c r="I9" s="9">
        <f>IF(AND(G9&lt;&gt;"",H9&lt;&gt;""),H9-G9+1,"")</f>
        <v/>
      </c>
      <c r="J9" s="10" t="inlineStr">
        <is>
          <t>profiles.sql</t>
        </is>
      </c>
    </row>
    <row r="10">
      <c r="A10" s="4" t="n">
        <v>0</v>
      </c>
      <c r="B10" s="5" t="inlineStr">
        <is>
          <t>Foundation (accounts &amp; admin)</t>
        </is>
      </c>
      <c r="C10" s="6" t="inlineStr">
        <is>
          <t>0.6</t>
        </is>
      </c>
      <c r="D10" s="5" t="inlineStr">
        <is>
          <t>Admin panel &amp; staff roles</t>
        </is>
      </c>
      <c r="E10" s="5" t="inlineStr">
        <is>
          <t>admin.html: Master Admin, Co-admin, Editor; invite by email; approve sellers</t>
        </is>
      </c>
      <c r="F10" s="7" t="inlineStr">
        <is>
          <t>Done</t>
        </is>
      </c>
      <c r="G10" s="8" t="n">
        <v>46317</v>
      </c>
      <c r="H10" s="8" t="n">
        <v>46317</v>
      </c>
      <c r="I10" s="9">
        <f>IF(AND(G10&lt;&gt;"",H10&lt;&gt;""),H10-G10+1,"")</f>
        <v/>
      </c>
      <c r="J10" s="10" t="inlineStr">
        <is>
          <t>admin.sql; permissions tested on a test database</t>
        </is>
      </c>
    </row>
    <row r="11">
      <c r="A11" s="4" t="n">
        <v>0</v>
      </c>
      <c r="B11" s="5" t="inlineStr">
        <is>
          <t>Foundation (accounts &amp; admin)</t>
        </is>
      </c>
      <c r="C11" s="6" t="inlineStr">
        <is>
          <t>0.7</t>
        </is>
      </c>
      <c r="D11" s="5" t="inlineStr">
        <is>
          <t>Install &amp; live test</t>
        </is>
      </c>
      <c r="E11" s="5" t="inlineStr">
        <is>
          <t>Run setup.sql, profiles.sql, admin.sql; make yourself Master Admin; test every sign-in flow</t>
        </is>
      </c>
      <c r="F11" s="7" t="inlineStr">
        <is>
          <t>Done</t>
        </is>
      </c>
      <c r="G11" s="8" t="n">
        <v>46317</v>
      </c>
      <c r="H11" s="8" t="n">
        <v>46317</v>
      </c>
      <c r="I11" s="9">
        <f>IF(AND(G11&lt;&gt;"",H11&lt;&gt;""),H11-G11+1,"")</f>
        <v/>
      </c>
      <c r="J11" s="10" t="inlineStr">
        <is>
          <t>All 3 SQL files run OK; hkmanik@gmail.com is Master Admin (22 Oct). To do: URL Configuration, open admin.html, test sign-in flows</t>
        </is>
      </c>
    </row>
    <row r="12">
      <c r="A12" s="11" t="n">
        <v>1</v>
      </c>
      <c r="B12" s="12" t="inlineStr">
        <is>
          <t>Catalog &amp; Seller Products</t>
        </is>
      </c>
      <c r="C12" s="13" t="inlineStr">
        <is>
          <t>1.1</t>
        </is>
      </c>
      <c r="D12" s="12" t="inlineStr">
        <is>
          <t>Admin sidebar layout</t>
        </is>
      </c>
      <c r="E12" s="12" t="inlineStr">
        <is>
          <t>Left sidebar menu grouped by Catalog, People, Storefront, Money, Settings; folds to a menu button on phones</t>
        </is>
      </c>
      <c r="F12" s="7" t="inlineStr">
        <is>
          <t>Done</t>
        </is>
      </c>
      <c r="G12" s="8" t="n">
        <v>46317</v>
      </c>
      <c r="H12" s="8" t="n">
        <v>46317</v>
      </c>
      <c r="I12" s="14">
        <f>IF(AND(G12&lt;&gt;"",H12&lt;&gt;""),H12-G12+1,"")</f>
        <v/>
      </c>
      <c r="J12" s="10" t="inlineStr">
        <is>
          <t>Built 22 Oct in admin.html. Test after running catalog.sql</t>
        </is>
      </c>
    </row>
    <row r="13">
      <c r="A13" s="11" t="n">
        <v>1</v>
      </c>
      <c r="B13" s="12" t="inlineStr">
        <is>
          <t>Catalog &amp; Seller Products</t>
        </is>
      </c>
      <c r="C13" s="13" t="inlineStr">
        <is>
          <t>1.2</t>
        </is>
      </c>
      <c r="D13" s="12" t="inlineStr">
        <is>
          <t>Categories &amp; sub-categories</t>
        </is>
      </c>
      <c r="E13" s="12" t="inlineStr">
        <is>
          <t>One tree (e.g. Electronics › Mobile › Smartphones) with icon, sort order, on/off</t>
        </is>
      </c>
      <c r="F13" s="7" t="inlineStr">
        <is>
          <t>Done</t>
        </is>
      </c>
      <c r="G13" s="8" t="n">
        <v>46317</v>
      </c>
      <c r="H13" s="8" t="n">
        <v>46317</v>
      </c>
      <c r="I13" s="14">
        <f>IF(AND(G13&lt;&gt;"",H13&lt;&gt;""),H13-G13+1,"")</f>
        <v/>
      </c>
      <c r="J13" s="10" t="inlineStr">
        <is>
          <t>Built 22 Oct. catalog_seed.sql adds 20 categories + 100 sub-categories (editable)</t>
        </is>
      </c>
    </row>
    <row r="14">
      <c r="A14" s="11" t="n">
        <v>1</v>
      </c>
      <c r="B14" s="12" t="inlineStr">
        <is>
          <t>Catalog &amp; Seller Products</t>
        </is>
      </c>
      <c r="C14" s="13" t="inlineStr">
        <is>
          <t>1.3</t>
        </is>
      </c>
      <c r="D14" s="12" t="inlineStr">
        <is>
          <t>Attributes</t>
        </is>
      </c>
      <c r="E14" s="12" t="inlineStr">
        <is>
          <t>Create attributes (Colour, Size, RAM…) and attach them to categories</t>
        </is>
      </c>
      <c r="F14" s="7" t="inlineStr">
        <is>
          <t>Done</t>
        </is>
      </c>
      <c r="G14" s="8" t="n">
        <v>46317</v>
      </c>
      <c r="H14" s="8" t="n">
        <v>46317</v>
      </c>
      <c r="I14" s="14">
        <f>IF(AND(G14&lt;&gt;"",H14&lt;&gt;""),H14-G14+1,"")</f>
        <v/>
      </c>
      <c r="J14" s="10" t="inlineStr">
        <is>
          <t>Built 22 Oct. catalog_seed.sql adds 136 dropdown attributes, 1,315 choices, linked to categories</t>
        </is>
      </c>
    </row>
    <row r="15">
      <c r="A15" s="11" t="n">
        <v>1</v>
      </c>
      <c r="B15" s="12" t="inlineStr">
        <is>
          <t>Catalog &amp; Seller Products</t>
        </is>
      </c>
      <c r="C15" s="13" t="inlineStr">
        <is>
          <t>1.4</t>
        </is>
      </c>
      <c r="D15" s="12" t="inlineStr">
        <is>
          <t>Product database &amp; image storage</t>
        </is>
      </c>
      <c r="E15" s="12" t="inlineStr">
        <is>
          <t>Products table, Supabase Storage bucket for photos, security rules</t>
        </is>
      </c>
      <c r="F15" s="7" t="inlineStr">
        <is>
          <t>Done</t>
        </is>
      </c>
      <c r="G15" s="8" t="n">
        <v>46317</v>
      </c>
      <c r="H15" s="8" t="n">
        <v>46317</v>
      </c>
      <c r="I15" s="14">
        <f>IF(AND(G15&lt;&gt;"",H15&lt;&gt;""),H15-G15+1,"")</f>
        <v/>
      </c>
      <c r="J15" s="10" t="inlineStr">
        <is>
          <t>Built 22 Oct (products.sql): product tables, review flow, photo bucket. Tested; installed in Supabase 22 Oct</t>
        </is>
      </c>
    </row>
    <row r="16">
      <c r="A16" s="11" t="n">
        <v>1</v>
      </c>
      <c r="B16" s="12" t="inlineStr">
        <is>
          <t>Catalog &amp; Seller Products</t>
        </is>
      </c>
      <c r="C16" s="13" t="inlineStr">
        <is>
          <t>1.5</t>
        </is>
      </c>
      <c r="D16" s="12" t="inlineStr">
        <is>
          <t>Seller: add &amp; edit products</t>
        </is>
      </c>
      <c r="E16" s="12" t="inlineStr">
        <is>
          <t>Approved sellers add title, price (৳), photos, description, category, attribute values</t>
        </is>
      </c>
      <c r="F16" s="7" t="inlineStr">
        <is>
          <t>Done</t>
        </is>
      </c>
      <c r="G16" s="8" t="n">
        <v>46317</v>
      </c>
      <c r="H16" s="8" t="n">
        <v>46317</v>
      </c>
      <c r="I16" s="14">
        <f>IF(AND(G16&lt;&gt;"",H16&lt;&gt;""),H16-G16+1,"")</f>
        <v/>
      </c>
      <c r="J16" s="10" t="inlineStr">
        <is>
          <t>Built 22 Oct: seller.html + products_v2.sql + product_options.sql. New / Pre-owned, Free listing / Featured, Main + 7 gallery photos, pricing, stock, shipping, linked products; Downloadable, Service, Gift card, Pre-order, Wholesale price, COD on/off</t>
        </is>
      </c>
    </row>
    <row r="17">
      <c r="A17" s="11" t="n">
        <v>1</v>
      </c>
      <c r="B17" s="12" t="inlineStr">
        <is>
          <t>Catalog &amp; Seller Products</t>
        </is>
      </c>
      <c r="C17" s="13" t="inlineStr">
        <is>
          <t>1.6</t>
        </is>
      </c>
      <c r="D17" s="12" t="inlineStr">
        <is>
          <t>Variants &amp; stock</t>
        </is>
      </c>
      <c r="E17" s="12" t="inlineStr">
        <is>
          <t>Size/colour options with their own price and stock count</t>
        </is>
      </c>
      <c r="F17" s="7" t="inlineStr">
        <is>
          <t>Done</t>
        </is>
      </c>
      <c r="G17" s="8" t="n">
        <v>46317</v>
      </c>
      <c r="H17" s="8" t="n">
        <v>46317</v>
      </c>
      <c r="I17" s="14">
        <f>IF(AND(G17&lt;&gt;"",H17&lt;&gt;""),H17-G17+1,"")</f>
        <v/>
      </c>
      <c r="J17" s="10" t="inlineStr">
        <is>
          <t>Built with 1.5: variations (e.g. Colour × Storage) with own price, sale, stock, SKU, photo</t>
        </is>
      </c>
    </row>
    <row r="18">
      <c r="A18" s="11" t="n">
        <v>1</v>
      </c>
      <c r="B18" s="12" t="inlineStr">
        <is>
          <t>Catalog &amp; Seller Products</t>
        </is>
      </c>
      <c r="C18" s="13" t="inlineStr">
        <is>
          <t>1.7</t>
        </is>
      </c>
      <c r="D18" s="12" t="inlineStr">
        <is>
          <t>Product approval</t>
        </is>
      </c>
      <c r="E18" s="12" t="inlineStr">
        <is>
          <t>Editor / Co-admin review new products before they go live</t>
        </is>
      </c>
      <c r="F18" s="7" t="inlineStr">
        <is>
          <t>Done</t>
        </is>
      </c>
      <c r="G18" s="8" t="n">
        <v>46317</v>
      </c>
      <c r="H18" s="8" t="n">
        <v>46317</v>
      </c>
      <c r="I18" s="14">
        <f>IF(AND(G18&lt;&gt;"",H18&lt;&gt;""),H18-G18+1,"")</f>
        <v/>
      </c>
      <c r="J18" s="10" t="inlineStr">
        <is>
          <t>Built 22 Oct: admin Products page (approve / reject with reason / take down). Also: one-time sellers via sell.html (no account), simpler Add product form. 22 Oct: one-time sellers choose Free (buyers message only, phone hidden) or Featured (call, WhatsApp, email, message)</t>
        </is>
      </c>
    </row>
    <row r="19">
      <c r="A19" s="11" t="n">
        <v>1</v>
      </c>
      <c r="B19" s="12" t="inlineStr">
        <is>
          <t>Catalog &amp; Seller Products</t>
        </is>
      </c>
      <c r="C19" s="13" t="inlineStr">
        <is>
          <t>1.8</t>
        </is>
      </c>
      <c r="D19" s="12" t="inlineStr">
        <is>
          <t>Seller shop page</t>
        </is>
      </c>
      <c r="E19" s="12" t="inlineStr">
        <is>
          <t>Public page per shop: logo, banner, products</t>
        </is>
      </c>
      <c r="F19" s="7" t="inlineStr">
        <is>
          <t>Done</t>
        </is>
      </c>
      <c r="G19" s="8" t="n">
        <v>46317</v>
      </c>
      <c r="H19" s="8" t="n">
        <v>46317</v>
      </c>
      <c r="I19" s="14">
        <f>IF(AND(G19&lt;&gt;"",H19&lt;&gt;""),H19-G19+1,"")</f>
        <v/>
      </c>
      <c r="J19" s="10" t="inlineStr">
        <is>
          <t>Shop settings built 22 Oct (shop_settings.sql): logo, banner, web address, contact, social links, vacation mode, payout details. Public shop page still to build · 23 Oct: store.html?s=&lt;shop&gt; with banner, logo, contact, about, search, category filter, sort and pages; linked from product, cart and orders</t>
        </is>
      </c>
    </row>
    <row r="20">
      <c r="A20" s="4" t="n">
        <v>2</v>
      </c>
      <c r="B20" s="5" t="inlineStr">
        <is>
          <t>Customer Shopping</t>
        </is>
      </c>
      <c r="C20" s="6" t="inlineStr">
        <is>
          <t>2.1</t>
        </is>
      </c>
      <c r="D20" s="5" t="inlineStr">
        <is>
          <t>Home page</t>
        </is>
      </c>
      <c r="E20" s="5" t="inlineStr">
        <is>
          <t>Banners, featured categories, new and popular products</t>
        </is>
      </c>
      <c r="F20" s="7" t="inlineStr">
        <is>
          <t>In progress</t>
        </is>
      </c>
      <c r="G20" s="8" t="n">
        <v>46317</v>
      </c>
      <c r="H20" s="8" t="n"/>
      <c r="I20" s="9">
        <f>IF(AND(G20&lt;&gt;"",H20&lt;&gt;""),H20-G20+1,"")</f>
        <v/>
      </c>
      <c r="J20" s="10" t="inlineStr">
        <is>
          <t>Updated 22 Oct: 6×2 category cards, All categories page (categories.html), admin-managed product sections (Featured, Deals of the Day, New arrivals…), New/Pre-owned/Sale labels, heart, cart icon with count. Banners editable later (5.9) · 23 Oct: Top shops sliding row, new section types (with options, brand new, negotiable), category pictures</t>
        </is>
      </c>
    </row>
    <row r="21">
      <c r="A21" s="4" t="n">
        <v>2</v>
      </c>
      <c r="B21" s="5" t="inlineStr">
        <is>
          <t>Customer Shopping</t>
        </is>
      </c>
      <c r="C21" s="6" t="inlineStr">
        <is>
          <t>2.2</t>
        </is>
      </c>
      <c r="D21" s="5" t="inlineStr">
        <is>
          <t>Product listing &amp; filters</t>
        </is>
      </c>
      <c r="E21" s="5" t="inlineStr">
        <is>
          <t>Browse by category; filter by price, brand, rating; sort</t>
        </is>
      </c>
      <c r="F21" s="7" t="inlineStr">
        <is>
          <t>In progress</t>
        </is>
      </c>
      <c r="G21" s="8" t="n">
        <v>46317</v>
      </c>
      <c r="H21" s="8" t="n"/>
      <c r="I21" s="9">
        <f>IF(AND(G21&lt;&gt;"",H21&lt;&gt;""),H21-G21+1,"")</f>
        <v/>
      </c>
      <c r="J21" s="10" t="inlineStr">
        <is>
          <t>Built 22 Oct (browse.html): left sidebar with expandable categories, filters (condition, price, district, featured, free delivery), sort, show more · 23 Oct: page numbers with Previous / Next (24 per page), fixed header and menu, coloured sub-category buttons, picture icons in the sidebar</t>
        </is>
      </c>
    </row>
    <row r="22">
      <c r="A22" s="4" t="n">
        <v>2</v>
      </c>
      <c r="B22" s="5" t="inlineStr">
        <is>
          <t>Customer Shopping</t>
        </is>
      </c>
      <c r="C22" s="6" t="inlineStr">
        <is>
          <t>2.3</t>
        </is>
      </c>
      <c r="D22" s="5" t="inlineStr">
        <is>
          <t>Search</t>
        </is>
      </c>
      <c r="E22" s="5" t="inlineStr">
        <is>
          <t>Search by product name, shop, category</t>
        </is>
      </c>
      <c r="F22" s="7" t="inlineStr">
        <is>
          <t>In progress</t>
        </is>
      </c>
      <c r="G22" s="8" t="n">
        <v>46317</v>
      </c>
      <c r="H22" s="8" t="n"/>
      <c r="I22" s="9">
        <f>IF(AND(G22&lt;&gt;"",H22&lt;&gt;""),H22-G22+1,"")</f>
        <v/>
      </c>
      <c r="J22" s="10" t="inlineStr">
        <is>
          <t>Built 22 Oct: search by name, description and tags; matching categories suggested. Cart page (cart.html) added</t>
        </is>
      </c>
    </row>
    <row r="23">
      <c r="A23" s="4" t="n">
        <v>2</v>
      </c>
      <c r="B23" s="5" t="inlineStr">
        <is>
          <t>Customer Shopping</t>
        </is>
      </c>
      <c r="C23" s="6" t="inlineStr">
        <is>
          <t>2.4</t>
        </is>
      </c>
      <c r="D23" s="5" t="inlineStr">
        <is>
          <t>Product detail page</t>
        </is>
      </c>
      <c r="E23" s="5" t="inlineStr">
        <is>
          <t>Photos, variants, stock, seller info, delivery estimate</t>
        </is>
      </c>
      <c r="F23" s="7" t="inlineStr">
        <is>
          <t>In progress</t>
        </is>
      </c>
      <c r="G23" s="8" t="n">
        <v>46317</v>
      </c>
      <c r="H23" s="8" t="n"/>
      <c r="I23" s="9">
        <f>IF(AND(G23&lt;&gt;"",H23&lt;&gt;""),H23-G23+1,"")</f>
        <v/>
      </c>
      <c r="J23" s="10" t="inlineStr">
        <is>
          <t>Built 22 Oct (product.html): gallery, variations, price/sale, stock, Contact seller (Call/WhatsApp), Add to cart, Buy now. Cart saved on device until checkout (3.2)</t>
        </is>
      </c>
    </row>
    <row r="24">
      <c r="A24" s="4" t="n">
        <v>2</v>
      </c>
      <c r="B24" s="5" t="inlineStr">
        <is>
          <t>Customer Shopping</t>
        </is>
      </c>
      <c r="C24" s="6" t="inlineStr">
        <is>
          <t>2.5</t>
        </is>
      </c>
      <c r="D24" s="5" t="inlineStr">
        <is>
          <t>Wishlist</t>
        </is>
      </c>
      <c r="E24" s="5" t="inlineStr">
        <is>
          <t>Customers save products for later</t>
        </is>
      </c>
      <c r="F24" s="7" t="inlineStr">
        <is>
          <t>Done</t>
        </is>
      </c>
      <c r="G24" s="8" t="n">
        <v>46317</v>
      </c>
      <c r="H24" s="8" t="n">
        <v>46318</v>
      </c>
      <c r="I24" s="9">
        <f>IF(AND(G24&lt;&gt;"",H24&lt;&gt;""),H24-G24+1,"")</f>
        <v/>
      </c>
      <c r="J24" s="10" t="inlineStr">
        <is>
          <t>23 Oct (0031_saved_lists.sql): saved items kept in the customer account (customer_lists) and on every device; merged at sign-in, cleared from the device at sign-out</t>
        </is>
      </c>
    </row>
    <row r="25">
      <c r="A25" s="4" t="n">
        <v>2</v>
      </c>
      <c r="B25" s="5" t="inlineStr">
        <is>
          <t>Customer Shopping</t>
        </is>
      </c>
      <c r="C25" s="6" t="inlineStr">
        <is>
          <t>2.6</t>
        </is>
      </c>
      <c r="D25" s="5" t="inlineStr">
        <is>
          <t>Cart</t>
        </is>
      </c>
      <c r="E25" s="5" t="inlineStr">
        <is>
          <t>Add, update, remove items; cart saved to account</t>
        </is>
      </c>
      <c r="F25" s="7" t="inlineStr">
        <is>
          <t>Done</t>
        </is>
      </c>
      <c r="G25" s="8" t="n">
        <v>46317</v>
      </c>
      <c r="H25" s="8" t="n">
        <v>46318</v>
      </c>
      <c r="I25" s="9">
        <f>IF(AND(G25&lt;&gt;"",H25&lt;&gt;""),H25-G25+1,"")</f>
        <v/>
      </c>
      <c r="J25" s="10" t="inlineStr">
        <is>
          <t>23 Oct (0031_saved_lists.sql): cart kept in the customer account and on every device (sync.js); prices/stock still checked live and by place_order</t>
        </is>
      </c>
    </row>
    <row r="26">
      <c r="A26" s="4" t="n">
        <v>2</v>
      </c>
      <c r="B26" s="5" t="inlineStr">
        <is>
          <t>Customer Shopping</t>
        </is>
      </c>
      <c r="C26" s="6" t="inlineStr">
        <is>
          <t>2.7</t>
        </is>
      </c>
      <c r="D26" s="5" t="inlineStr">
        <is>
          <t>Buyer–seller messages</t>
        </is>
      </c>
      <c r="E26" s="5" t="inlineStr">
        <is>
          <t>Buyers message sellers about a product; both reply on the Messages page</t>
        </is>
      </c>
      <c r="F26" s="7" t="inlineStr">
        <is>
          <t>Done</t>
        </is>
      </c>
      <c r="G26" s="8" t="n">
        <v>46317</v>
      </c>
      <c r="H26" s="8" t="n">
        <v>46317</v>
      </c>
      <c r="I26" s="9">
        <f>IF(AND(G26&lt;&gt;"",H26&lt;&gt;""),H26-G26+1,"")</f>
        <v/>
      </c>
      <c r="J26" s="10" t="inlineStr">
        <is>
          <t>Built 22 Oct (messages.html, contact_messages.sql). Only buyer and seller can read a chat. 23 Oct: email alert for new messages (max one per chat every 30 minutes)</t>
        </is>
      </c>
    </row>
    <row r="27">
      <c r="A27" s="4" t="n">
        <v>2</v>
      </c>
      <c r="B27" s="5" t="inlineStr">
        <is>
          <t>Customer Shopping</t>
        </is>
      </c>
      <c r="C27" s="6" t="inlineStr">
        <is>
          <t>2.8</t>
        </is>
      </c>
      <c r="D27" s="5" t="inlineStr">
        <is>
          <t>English / Bangla</t>
        </is>
      </c>
      <c r="E27" s="5" t="inlineStr">
        <is>
          <t>Language switch; shop pages, names of categories, products and shops in Bangla</t>
        </is>
      </c>
      <c r="F27" s="7" t="inlineStr">
        <is>
          <t>In progress</t>
        </is>
      </c>
      <c r="G27" s="8" t="n">
        <v>46317</v>
      </c>
      <c r="H27" s="8" t="n"/>
      <c r="I27" s="9">
        <f>IF(AND(G27&lt;&gt;"",H27&lt;&gt;""),H27-G27+1,"")</f>
        <v/>
      </c>
      <c r="J27" s="10" t="inlineStr">
        <is>
          <t>23 Oct: i18n.js translates shopper pages (home, categories, browse, product, cart, checkout, orders, messages, alerts, sign-in, sell) with Bangla digits; Bangla name fields for categories, products, shops, home sections (0022_bangla.sql). Seller Center and Admin still English</t>
        </is>
      </c>
    </row>
    <row r="28">
      <c r="A28" s="11" t="n">
        <v>3</v>
      </c>
      <c r="B28" s="12" t="inlineStr">
        <is>
          <t>Checkout &amp; Payments</t>
        </is>
      </c>
      <c r="C28" s="13" t="inlineStr">
        <is>
          <t>3.1</t>
        </is>
      </c>
      <c r="D28" s="12" t="inlineStr">
        <is>
          <t>Address book</t>
        </is>
      </c>
      <c r="E28" s="12" t="inlineStr">
        <is>
          <t>Customers save delivery addresses (division, district, area)</t>
        </is>
      </c>
      <c r="F28" s="7" t="inlineStr">
        <is>
          <t>Done</t>
        </is>
      </c>
      <c r="G28" s="8" t="n">
        <v>46318</v>
      </c>
      <c r="H28" s="8" t="n">
        <v>46318</v>
      </c>
      <c r="I28" s="14">
        <f>IF(AND(G28&lt;&gt;"",H28&lt;&gt;""),H28-G28+1,"")</f>
        <v/>
      </c>
      <c r="J28" s="10" t="inlineStr">
        <is>
          <t>Checkout remembers the last address on the device and fills it from the customer profile; full address book later · 23 Oct: account.html (profile, tiles, saved addresses up to 10 with a default, recent orders, change password); checkout picks a saved address and can save a new one (0028_customer_account.sql)</t>
        </is>
      </c>
    </row>
    <row r="29">
      <c r="A29" s="11" t="n">
        <v>3</v>
      </c>
      <c r="B29" s="12" t="inlineStr">
        <is>
          <t>Checkout &amp; Payments</t>
        </is>
      </c>
      <c r="C29" s="13" t="inlineStr">
        <is>
          <t>3.2</t>
        </is>
      </c>
      <c r="D29" s="12" t="inlineStr">
        <is>
          <t>Checkout flow</t>
        </is>
      </c>
      <c r="E29" s="12" t="inlineStr">
        <is>
          <t>Address → delivery option → payment → review → place order</t>
        </is>
      </c>
      <c r="F29" s="7" t="inlineStr">
        <is>
          <t>In progress</t>
        </is>
      </c>
      <c r="G29" s="8" t="n">
        <v>46317</v>
      </c>
      <c r="H29" s="8" t="n"/>
      <c r="I29" s="14">
        <f>IF(AND(G29&lt;&gt;"",H29&lt;&gt;""),H29-G29+1,"")</f>
        <v/>
      </c>
      <c r="J29" s="10" t="inlineStr">
        <is>
          <t>23 Oct: checkout.html, delivery details → Cash on Delivery → one order per shop (0020_orders.sql, place_order checks prices and stock)</t>
        </is>
      </c>
    </row>
    <row r="30">
      <c r="A30" s="11" t="n">
        <v>3</v>
      </c>
      <c r="B30" s="12" t="inlineStr">
        <is>
          <t>Checkout &amp; Payments</t>
        </is>
      </c>
      <c r="C30" s="13" t="inlineStr">
        <is>
          <t>3.3</t>
        </is>
      </c>
      <c r="D30" s="12" t="inlineStr">
        <is>
          <t>Cash on delivery</t>
        </is>
      </c>
      <c r="E30" s="12" t="inlineStr">
        <is>
          <t>COD option with order limits</t>
        </is>
      </c>
      <c r="F30" s="7" t="inlineStr">
        <is>
          <t>In progress</t>
        </is>
      </c>
      <c r="G30" s="8" t="n">
        <v>46317</v>
      </c>
      <c r="H30" s="8" t="n"/>
      <c r="I30" s="14">
        <f>IF(AND(G30&lt;&gt;"",H30&lt;&gt;""),H30-G30+1,"")</f>
        <v/>
      </c>
      <c r="J30" s="10" t="inlineStr">
        <is>
          <t>Cash on Delivery is the only payment; RGBKart never holds money. Order limits per day in place</t>
        </is>
      </c>
    </row>
    <row r="31">
      <c r="A31" s="11" t="n">
        <v>3</v>
      </c>
      <c r="B31" s="12" t="inlineStr">
        <is>
          <t>Checkout &amp; Payments</t>
        </is>
      </c>
      <c r="C31" s="13" t="inlineStr">
        <is>
          <t>3.4</t>
        </is>
      </c>
      <c r="D31" s="12" t="inlineStr">
        <is>
          <t>bKash &amp; Nagad</t>
        </is>
      </c>
      <c r="E31" s="12" t="inlineStr">
        <is>
          <t>Mobile wallet payments</t>
        </is>
      </c>
      <c r="F31" s="7" t="inlineStr">
        <is>
          <t>Not started</t>
        </is>
      </c>
      <c r="G31" s="8" t="n"/>
      <c r="H31" s="8" t="n"/>
      <c r="I31" s="14">
        <f>IF(AND(G31&lt;&gt;"",H31&lt;&gt;""),H31-G31+1,"")</f>
        <v/>
      </c>
      <c r="J31" s="10" t="inlineStr">
        <is>
          <t>Needs merchant accounts</t>
        </is>
      </c>
    </row>
    <row r="32">
      <c r="A32" s="11" t="n">
        <v>3</v>
      </c>
      <c r="B32" s="12" t="inlineStr">
        <is>
          <t>Checkout &amp; Payments</t>
        </is>
      </c>
      <c r="C32" s="13" t="inlineStr">
        <is>
          <t>3.5</t>
        </is>
      </c>
      <c r="D32" s="12" t="inlineStr">
        <is>
          <t>Card payments</t>
        </is>
      </c>
      <c r="E32" s="12" t="inlineStr">
        <is>
          <t>Payment gateway (e.g. SSLCommerz) for cards</t>
        </is>
      </c>
      <c r="F32" s="7" t="inlineStr">
        <is>
          <t>Not started</t>
        </is>
      </c>
      <c r="G32" s="8" t="n"/>
      <c r="H32" s="8" t="n"/>
      <c r="I32" s="14">
        <f>IF(AND(G32&lt;&gt;"",H32&lt;&gt;""),H32-G32+1,"")</f>
        <v/>
      </c>
      <c r="J32" s="10" t="inlineStr">
        <is>
          <t>Needs merchant account</t>
        </is>
      </c>
    </row>
    <row r="33">
      <c r="A33" s="11" t="n">
        <v>3</v>
      </c>
      <c r="B33" s="12" t="inlineStr">
        <is>
          <t>Checkout &amp; Payments</t>
        </is>
      </c>
      <c r="C33" s="13" t="inlineStr">
        <is>
          <t>3.6</t>
        </is>
      </c>
      <c r="D33" s="12" t="inlineStr">
        <is>
          <t>Coupons &amp; vouchers</t>
        </is>
      </c>
      <c r="E33" s="12" t="inlineStr">
        <is>
          <t>Shop discount codes</t>
        </is>
      </c>
      <c r="F33" s="7" t="inlineStr">
        <is>
          <t>Done</t>
        </is>
      </c>
      <c r="G33" s="8" t="n">
        <v>46318</v>
      </c>
      <c r="H33" s="8" t="n">
        <v>46318</v>
      </c>
      <c r="I33" s="14">
        <f>IF(AND(G33&lt;&gt;"",H33&lt;&gt;""),H33-G33+1,"")</f>
        <v/>
      </c>
      <c r="J33" s="10" t="inlineStr">
        <is>
          <t>23 Oct (0033_shop_coupons.sql): each shop makes its own codes in Seller Center → Coupons (taka or % off, cap, minimum order, dates, total and per-buyer limits, on/off); buyers apply them per shop in the cart; place_order checks again, records the use, total = items + delivery − discount; cancelled orders give the use back; shown on invoices and My orders. Zero commission: the shop gives the discount</t>
        </is>
      </c>
    </row>
    <row r="34">
      <c r="A34" s="11" t="n">
        <v>3</v>
      </c>
      <c r="B34" s="12" t="inlineStr">
        <is>
          <t>Checkout &amp; Payments</t>
        </is>
      </c>
      <c r="C34" s="13" t="inlineStr">
        <is>
          <t>3.7</t>
        </is>
      </c>
      <c r="D34" s="12" t="inlineStr">
        <is>
          <t>Order confirmation</t>
        </is>
      </c>
      <c r="E34" s="12" t="inlineStr">
        <is>
          <t>Email/SMS receipt after order</t>
        </is>
      </c>
      <c r="F34" s="7" t="inlineStr">
        <is>
          <t>In progress</t>
        </is>
      </c>
      <c r="G34" s="8" t="n">
        <v>46317</v>
      </c>
      <c r="H34" s="8" t="n"/>
      <c r="I34" s="14">
        <f>IF(AND(G34&lt;&gt;"",H34&lt;&gt;""),H34-G34+1,"")</f>
        <v/>
      </c>
      <c r="J34" s="10" t="inlineStr">
        <is>
          <t>23 Oct: email to the customer (if they gave an email) and the shop for each order and each status change (0021_alerts.sql). Goes live once Resend is set up. SMS later</t>
        </is>
      </c>
    </row>
    <row r="35">
      <c r="A35" s="4" t="n">
        <v>4</v>
      </c>
      <c r="B35" s="5" t="inlineStr">
        <is>
          <t>Orders &amp; Delivery</t>
        </is>
      </c>
      <c r="C35" s="6" t="inlineStr">
        <is>
          <t>4.1</t>
        </is>
      </c>
      <c r="D35" s="5" t="inlineStr">
        <is>
          <t>Split orders by seller</t>
        </is>
      </c>
      <c r="E35" s="5" t="inlineStr">
        <is>
          <t>One cart with several shops becomes one order per seller</t>
        </is>
      </c>
      <c r="F35" s="7" t="inlineStr">
        <is>
          <t>Done</t>
        </is>
      </c>
      <c r="G35" s="8" t="n">
        <v>46317</v>
      </c>
      <c r="H35" s="8" t="n"/>
      <c r="I35" s="9">
        <f>IF(AND(G35&lt;&gt;"",H35&lt;&gt;""),H35-G35+1,"")</f>
        <v/>
      </c>
      <c r="J35" s="10" t="inlineStr">
        <is>
          <t>One cart with several shops becomes one order per shop (order numbers RGB-YYMMDD-XXXXX)</t>
        </is>
      </c>
    </row>
    <row r="36">
      <c r="A36" s="4" t="n">
        <v>4</v>
      </c>
      <c r="B36" s="5" t="inlineStr">
        <is>
          <t>Orders &amp; Delivery</t>
        </is>
      </c>
      <c r="C36" s="6" t="inlineStr">
        <is>
          <t>4.2</t>
        </is>
      </c>
      <c r="D36" s="5" t="inlineStr">
        <is>
          <t>Seller order management</t>
        </is>
      </c>
      <c r="E36" s="5" t="inlineStr">
        <is>
          <t>Sellers accept, pack, mark shipped</t>
        </is>
      </c>
      <c r="F36" s="7" t="inlineStr">
        <is>
          <t>In progress</t>
        </is>
      </c>
      <c r="G36" s="8" t="n">
        <v>46317</v>
      </c>
      <c r="H36" s="8" t="n"/>
      <c r="I36" s="9">
        <f>IF(AND(G36&lt;&gt;"",H36&lt;&gt;""),H36-G36+1,"")</f>
        <v/>
      </c>
      <c r="J36" s="10" t="inlineStr">
        <is>
          <t>Seller Center → Orders: confirm, pack, ship (tracking note), deliver, cancel with reason; print invoice and packing slip</t>
        </is>
      </c>
    </row>
    <row r="37">
      <c r="A37" s="4" t="n">
        <v>4</v>
      </c>
      <c r="B37" s="5" t="inlineStr">
        <is>
          <t>Orders &amp; Delivery</t>
        </is>
      </c>
      <c r="C37" s="6" t="inlineStr">
        <is>
          <t>4.3</t>
        </is>
      </c>
      <c r="D37" s="5" t="inlineStr">
        <is>
          <t>Courier integration</t>
        </is>
      </c>
      <c r="E37" s="5" t="inlineStr">
        <is>
          <t>Book deliveries with couriers (e.g. Pathao, Steadfast, RedX)</t>
        </is>
      </c>
      <c r="F37" s="7" t="inlineStr">
        <is>
          <t>Not started</t>
        </is>
      </c>
      <c r="G37" s="8" t="n"/>
      <c r="H37" s="8" t="n"/>
      <c r="I37" s="9">
        <f>IF(AND(G37&lt;&gt;"",H37&lt;&gt;""),H37-G37+1,"")</f>
        <v/>
      </c>
      <c r="J37" s="10" t="inlineStr">
        <is>
          <t>Needs courier API accounts</t>
        </is>
      </c>
    </row>
    <row r="38">
      <c r="A38" s="4" t="n">
        <v>4</v>
      </c>
      <c r="B38" s="5" t="inlineStr">
        <is>
          <t>Orders &amp; Delivery</t>
        </is>
      </c>
      <c r="C38" s="6" t="inlineStr">
        <is>
          <t>4.4</t>
        </is>
      </c>
      <c r="D38" s="5" t="inlineStr">
        <is>
          <t>Order tracking</t>
        </is>
      </c>
      <c r="E38" s="5" t="inlineStr">
        <is>
          <t>Customers see order status and tracking</t>
        </is>
      </c>
      <c r="F38" s="7" t="inlineStr">
        <is>
          <t>In progress</t>
        </is>
      </c>
      <c r="G38" s="8" t="n">
        <v>46317</v>
      </c>
      <c r="H38" s="8" t="n"/>
      <c r="I38" s="9">
        <f>IF(AND(G38&lt;&gt;"",H38&lt;&gt;""),H38-G38+1,"")</f>
        <v/>
      </c>
      <c r="J38" s="10" t="inlineStr">
        <is>
          <t>orders.html: customers see progress steps and the shop's delivery info; call/WhatsApp the shop</t>
        </is>
      </c>
    </row>
    <row r="39">
      <c r="A39" s="4" t="n">
        <v>4</v>
      </c>
      <c r="B39" s="5" t="inlineStr">
        <is>
          <t>Orders &amp; Delivery</t>
        </is>
      </c>
      <c r="C39" s="6" t="inlineStr">
        <is>
          <t>4.5</t>
        </is>
      </c>
      <c r="D39" s="5" t="inlineStr">
        <is>
          <t>Cancellations</t>
        </is>
      </c>
      <c r="E39" s="5" t="inlineStr">
        <is>
          <t>Rules for customer and seller cancellations</t>
        </is>
      </c>
      <c r="F39" s="7" t="inlineStr">
        <is>
          <t>In progress</t>
        </is>
      </c>
      <c r="G39" s="8" t="n">
        <v>46317</v>
      </c>
      <c r="H39" s="8" t="n"/>
      <c r="I39" s="9">
        <f>IF(AND(G39&lt;&gt;"",H39&lt;&gt;""),H39-G39+1,"")</f>
        <v/>
      </c>
      <c r="J39" s="10" t="inlineStr">
        <is>
          <t>Customer cancels while new/confirmed; shop or admin cancels with a reason; stock goes back</t>
        </is>
      </c>
    </row>
    <row r="40">
      <c r="A40" s="4" t="n">
        <v>4</v>
      </c>
      <c r="B40" s="5" t="inlineStr">
        <is>
          <t>Orders &amp; Delivery</t>
        </is>
      </c>
      <c r="C40" s="6" t="inlineStr">
        <is>
          <t>4.6</t>
        </is>
      </c>
      <c r="D40" s="5" t="inlineStr">
        <is>
          <t>Returns &amp; refunds</t>
        </is>
      </c>
      <c r="E40" s="5" t="inlineStr">
        <is>
          <t>Return requests, approval, refund to wallet/payment method</t>
        </is>
      </c>
      <c r="F40" s="7" t="inlineStr">
        <is>
          <t>Done</t>
        </is>
      </c>
      <c r="G40" s="8" t="n">
        <v>46318</v>
      </c>
      <c r="H40" s="8" t="n">
        <v>46318</v>
      </c>
      <c r="I40" s="9">
        <f>IF(AND(G40&lt;&gt;"",H40&lt;&gt;""),H40-G40+1,"")</f>
        <v/>
      </c>
      <c r="J40" s="10" t="inlineStr">
        <is>
          <t>23 Oct (0036_returns.sql): My orders → Return this item within the product's return days (saved on the order line); reason, refund or exchange, details, up to 3 private photos; shop accepts / declines / marks item received (stock back) in Seller Center → Returns; admin sees all in Admin → Returns; alerts both ways. Refund paid by the shop directly (RGBKart holds no money)</t>
        </is>
      </c>
    </row>
    <row r="41">
      <c r="A41" s="11" t="n">
        <v>5</v>
      </c>
      <c r="B41" s="12" t="inlineStr">
        <is>
          <t>Money: Payouts, Promotions &amp; Admin</t>
        </is>
      </c>
      <c r="C41" s="13" t="inlineStr">
        <is>
          <t>5.1</t>
        </is>
      </c>
      <c r="D41" s="12" t="inlineStr">
        <is>
          <t>Commission rules</t>
        </is>
      </c>
      <c r="E41" s="12" t="inlineStr">
        <is>
          <t>Platform commission per category or seller</t>
        </is>
      </c>
      <c r="F41" s="7" t="inlineStr">
        <is>
          <t>Not needed</t>
        </is>
      </c>
      <c r="G41" s="8" t="n"/>
      <c r="H41" s="8" t="n"/>
      <c r="I41" s="14">
        <f>IF(AND(G41&lt;&gt;"",H41&lt;&gt;""),H41-G41+1,"")</f>
        <v/>
      </c>
      <c r="J41" s="10" t="inlineStr">
        <is>
          <t>Not needed (owner, 23 Oct): zero commission, and sellers collect cash on delivery themselves, so RGBKart holds no seller money. Payouts button removed from Seller Center.</t>
        </is>
      </c>
    </row>
    <row r="42">
      <c r="A42" s="11" t="n">
        <v>5</v>
      </c>
      <c r="B42" s="12" t="inlineStr">
        <is>
          <t>Money: Payouts, Promotions &amp; Admin</t>
        </is>
      </c>
      <c r="C42" s="13" t="inlineStr">
        <is>
          <t>5.2</t>
        </is>
      </c>
      <c r="D42" s="12" t="inlineStr">
        <is>
          <t>Seller balance</t>
        </is>
      </c>
      <c r="E42" s="12" t="inlineStr">
        <is>
          <t>Earnings after commission, held until delivery confirmed</t>
        </is>
      </c>
      <c r="F42" s="7" t="inlineStr">
        <is>
          <t>Not needed</t>
        </is>
      </c>
      <c r="G42" s="8" t="n"/>
      <c r="H42" s="8" t="n"/>
      <c r="I42" s="14">
        <f>IF(AND(G42&lt;&gt;"",H42&lt;&gt;""),H42-G42+1,"")</f>
        <v/>
      </c>
      <c r="J42" s="10" t="inlineStr">
        <is>
          <t>Not needed (owner, 23 Oct): zero commission, and sellers collect cash on delivery themselves, so RGBKart holds no seller money. Payouts button removed from Seller Center.</t>
        </is>
      </c>
    </row>
    <row r="43">
      <c r="A43" s="11" t="n">
        <v>5</v>
      </c>
      <c r="B43" s="12" t="inlineStr">
        <is>
          <t>Money: Payouts, Promotions &amp; Admin</t>
        </is>
      </c>
      <c r="C43" s="13" t="inlineStr">
        <is>
          <t>5.3</t>
        </is>
      </c>
      <c r="D43" s="12" t="inlineStr">
        <is>
          <t>Payouts</t>
        </is>
      </c>
      <c r="E43" s="12" t="inlineStr">
        <is>
          <t>Sellers request payout; admin marks paid (bank/bKash)</t>
        </is>
      </c>
      <c r="F43" s="7" t="inlineStr">
        <is>
          <t>Not needed</t>
        </is>
      </c>
      <c r="G43" s="8" t="n"/>
      <c r="H43" s="8" t="n"/>
      <c r="I43" s="14">
        <f>IF(AND(G43&lt;&gt;"",H43&lt;&gt;""),H43-G43+1,"")</f>
        <v/>
      </c>
      <c r="J43" s="10" t="inlineStr">
        <is>
          <t>Not needed (owner, 23 Oct): zero commission, and sellers collect cash on delivery themselves, so RGBKart holds no seller money. Payouts button removed from Seller Center.</t>
        </is>
      </c>
    </row>
    <row r="44">
      <c r="A44" s="11" t="n">
        <v>5</v>
      </c>
      <c r="B44" s="12" t="inlineStr">
        <is>
          <t>Money: Payouts, Promotions &amp; Admin</t>
        </is>
      </c>
      <c r="C44" s="13" t="inlineStr">
        <is>
          <t>5.4</t>
        </is>
      </c>
      <c r="D44" s="12" t="inlineStr">
        <is>
          <t>Featured listing packages</t>
        </is>
      </c>
      <c r="E44" s="12" t="inlineStr">
        <is>
          <t>Admin sets packages: placement (home, category top), rate (৳) and duration (days)</t>
        </is>
      </c>
      <c r="F44" s="7" t="inlineStr">
        <is>
          <t>In progress</t>
        </is>
      </c>
      <c r="G44" s="8" t="n">
        <v>46317</v>
      </c>
      <c r="H44" s="8" t="n"/>
      <c r="I44" s="14">
        <f>IF(AND(G44&lt;&gt;"",H44&lt;&gt;""),H44-G44+1,"")</f>
        <v/>
      </c>
      <c r="J44" s="10" t="inlineStr">
        <is>
          <t>Rate list (7/15/30 days, admin-editable); sellers pick a duration; admin can give Featured free (Products → Make Featured free). 0018_admin_tools.sql</t>
        </is>
      </c>
    </row>
    <row r="45">
      <c r="A45" s="11" t="n">
        <v>5</v>
      </c>
      <c r="B45" s="12" t="inlineStr">
        <is>
          <t>Money: Payouts, Promotions &amp; Admin</t>
        </is>
      </c>
      <c r="C45" s="13" t="inlineStr">
        <is>
          <t>5.5</t>
        </is>
      </c>
      <c r="D45" s="12" t="inlineStr">
        <is>
          <t>Advertisement types &amp; rates</t>
        </is>
      </c>
      <c r="E45" s="12" t="inlineStr">
        <is>
          <t>Admin defines ad types (home banner, category banner, sidebar, popup), size, rate and duration</t>
        </is>
      </c>
      <c r="F45" s="7" t="inlineStr">
        <is>
          <t>In progress</t>
        </is>
      </c>
      <c r="G45" s="8" t="n">
        <v>46317</v>
      </c>
      <c r="H45" s="8" t="n"/>
      <c r="I45" s="14">
        <f>IF(AND(G45&lt;&gt;"",H45&lt;&gt;""),H45-G45+1,"")</f>
        <v/>
      </c>
      <c r="J45" s="10" t="inlineStr">
        <is>
          <t>23 Oct: Admin → Featured &amp; ads: price per day for Home banner strip, Home mid-page banner, Category sidebar; admin creates ads (own or for a seller), shown on the site</t>
        </is>
      </c>
    </row>
    <row r="46">
      <c r="A46" s="11" t="n">
        <v>5</v>
      </c>
      <c r="B46" s="12" t="inlineStr">
        <is>
          <t>Money: Payouts, Promotions &amp; Admin</t>
        </is>
      </c>
      <c r="C46" s="13" t="inlineStr">
        <is>
          <t>5.6</t>
        </is>
      </c>
      <c r="D46" s="12" t="inlineStr">
        <is>
          <t>Seller buys featured / ads</t>
        </is>
      </c>
      <c r="E46" s="12" t="inlineStr">
        <is>
          <t>Seller picks a package, uploads banner (ads), pays, sees status and expiry</t>
        </is>
      </c>
      <c r="F46" s="7" t="inlineStr">
        <is>
          <t>In progress</t>
        </is>
      </c>
      <c r="G46" s="8" t="n">
        <v>46317</v>
      </c>
      <c r="H46" s="8" t="n"/>
      <c r="I46" s="14">
        <f>IF(AND(G46&lt;&gt;"",H46&lt;&gt;""),H46-G46+1,"")</f>
        <v/>
      </c>
      <c r="J46" s="10" t="inlineStr">
        <is>
          <t>23 Oct: sellers pay Featured fees (Sell page, Seller Center) and book + pay for ads (Seller Center → Advertise). Ad pictures optional</t>
        </is>
      </c>
    </row>
    <row r="47">
      <c r="A47" s="11" t="n">
        <v>5</v>
      </c>
      <c r="B47" s="12" t="inlineStr">
        <is>
          <t>Money: Payouts, Promotions &amp; Admin</t>
        </is>
      </c>
      <c r="C47" s="13" t="inlineStr">
        <is>
          <t>5.7</t>
        </is>
      </c>
      <c r="D47" s="12" t="inlineStr">
        <is>
          <t>Payment verification</t>
        </is>
      </c>
      <c r="E47" s="12" t="inlineStr">
        <is>
          <t>Admin queue for manual payments (bKash, Nagad, bank): check TrxID &amp; amount, approve or reject with reason</t>
        </is>
      </c>
      <c r="F47" s="7" t="inlineStr">
        <is>
          <t>In progress</t>
        </is>
      </c>
      <c r="G47" s="8" t="n">
        <v>46317</v>
      </c>
      <c r="H47" s="8" t="n"/>
      <c r="I47" s="14">
        <f>IF(AND(G47&lt;&gt;"",H47&lt;&gt;""),H47-G47+1,"")</f>
        <v/>
      </c>
      <c r="J47" s="10" t="inlineStr">
        <is>
          <t>23 Oct: Admin → Payments: bKash/Nagad/Upay/Rocket numbers; queue with Verify &amp; start / Reject with reason; each TrxID usable only once (0019_payments.sql). Order payments come with checkout</t>
        </is>
      </c>
    </row>
    <row r="48">
      <c r="A48" s="11" t="n">
        <v>5</v>
      </c>
      <c r="B48" s="12" t="inlineStr">
        <is>
          <t>Money: Payouts, Promotions &amp; Admin</t>
        </is>
      </c>
      <c r="C48" s="13" t="inlineStr">
        <is>
          <t>5.8</t>
        </is>
      </c>
      <c r="D48" s="12" t="inlineStr">
        <is>
          <t>Auto start, expiry &amp; renewal</t>
        </is>
      </c>
      <c r="E48" s="12" t="inlineStr">
        <is>
          <t>Featured items and ads switch on at approval, switch off at end date; reminder before expiry</t>
        </is>
      </c>
      <c r="F48" s="7" t="inlineStr">
        <is>
          <t>In progress</t>
        </is>
      </c>
      <c r="G48" s="8" t="n">
        <v>46317</v>
      </c>
      <c r="H48" s="8" t="n"/>
      <c r="I48" s="14">
        <f>IF(AND(G48&lt;&gt;"",H48&lt;&gt;""),H48-G48+1,"")</f>
        <v/>
      </c>
      <c r="J48" s="10" t="inlineStr">
        <is>
          <t>Featured and ads end by themselves on their end date. Reminders before expiry still to do</t>
        </is>
      </c>
    </row>
    <row r="49">
      <c r="A49" s="11" t="n">
        <v>5</v>
      </c>
      <c r="B49" s="12" t="inlineStr">
        <is>
          <t>Money: Payouts, Promotions &amp; Admin</t>
        </is>
      </c>
      <c r="C49" s="13" t="inlineStr">
        <is>
          <t>5.9</t>
        </is>
      </c>
      <c r="D49" s="12" t="inlineStr">
        <is>
          <t>Home page editor</t>
        </is>
      </c>
      <c r="E49" s="12" t="inlineStr">
        <is>
          <t>Banners, featured categories, product sections; order and on/off</t>
        </is>
      </c>
      <c r="F49" s="7" t="inlineStr">
        <is>
          <t>In progress</t>
        </is>
      </c>
      <c r="G49" s="8" t="n">
        <v>46317</v>
      </c>
      <c r="H49" s="8" t="n"/>
      <c r="I49" s="14">
        <f>IF(AND(G49&lt;&gt;"",H49&lt;&gt;""),H49-G49+1,"")</f>
        <v/>
      </c>
      <c r="J49" s="10" t="inlineStr">
        <is>
          <t>22 Oct: Admin → Home page adds, edits, hides, reorders and deletes product sections (home_sections.sql). Banners still to do. Editors allowed</t>
        </is>
      </c>
    </row>
    <row r="50">
      <c r="A50" s="11" t="n">
        <v>5</v>
      </c>
      <c r="B50" s="12" t="inlineStr">
        <is>
          <t>Money: Payouts, Promotions &amp; Admin</t>
        </is>
      </c>
      <c r="C50" s="13" t="inlineStr">
        <is>
          <t>5.10</t>
        </is>
      </c>
      <c r="D50" s="12" t="inlineStr">
        <is>
          <t>Reports</t>
        </is>
      </c>
      <c r="E50" s="12" t="inlineStr">
        <is>
          <t>Sales, orders, featured &amp; ad income, top sellers; export</t>
        </is>
      </c>
      <c r="F50" s="7" t="inlineStr">
        <is>
          <t>In progress</t>
        </is>
      </c>
      <c r="G50" s="8" t="n">
        <v>46317</v>
      </c>
      <c r="H50" s="8" t="n"/>
      <c r="I50" s="14">
        <f>IF(AND(G50&lt;&gt;"",H50&lt;&gt;""),H50-G50+1,"")</f>
        <v/>
      </c>
      <c r="J50" s="10" t="inlineStr">
        <is>
          <t>23 Oct: Admin → Reports: daily/weekly/monthly/yearly/custom; visitors, sign-ups, listings, Featured &amp; ad income; charts; CSV download. Sales/orders come with checkout</t>
        </is>
      </c>
    </row>
    <row r="51">
      <c r="A51" s="11" t="n">
        <v>5</v>
      </c>
      <c r="B51" s="12" t="inlineStr">
        <is>
          <t>Money: Payouts, Promotions &amp; Admin</t>
        </is>
      </c>
      <c r="C51" s="13" t="inlineStr">
        <is>
          <t>5.11</t>
        </is>
      </c>
      <c r="D51" s="12" t="inlineStr">
        <is>
          <t>Activity log</t>
        </is>
      </c>
      <c r="E51" s="12" t="inlineStr">
        <is>
          <t>Record of admin actions (who approved what, when)</t>
        </is>
      </c>
      <c r="F51" s="7" t="inlineStr">
        <is>
          <t>Done</t>
        </is>
      </c>
      <c r="G51" s="8" t="n">
        <v>46318</v>
      </c>
      <c r="H51" s="8" t="n">
        <v>46318</v>
      </c>
      <c r="I51" s="14">
        <f>IF(AND(G51&lt;&gt;"",H51&lt;&gt;""),H51-G51+1,"")</f>
        <v/>
      </c>
      <c r="J51" s="10" t="inlineStr">
        <is>
          <t>23 Oct (0037_activity_log.sql): database triggers on 26 tables record every add/change/delete made by staff (who, role, when, what changed from → to); Admin → Activity log for Master Admin and Co-admins with filters, search and CSV download; entries cannot be edited or deleted</t>
        </is>
      </c>
    </row>
    <row r="52">
      <c r="A52" s="4" t="n">
        <v>6</v>
      </c>
      <c r="B52" s="5" t="inlineStr">
        <is>
          <t>Reviews, Notifications &amp; Trust</t>
        </is>
      </c>
      <c r="C52" s="6" t="inlineStr">
        <is>
          <t>6.1</t>
        </is>
      </c>
      <c r="D52" s="5" t="inlineStr">
        <is>
          <t>Reviews &amp; ratings</t>
        </is>
      </c>
      <c r="E52" s="5" t="inlineStr">
        <is>
          <t>Verified buyers rate products and sellers</t>
        </is>
      </c>
      <c r="F52" s="7" t="inlineStr">
        <is>
          <t>Done</t>
        </is>
      </c>
      <c r="G52" s="8" t="n">
        <v>46318</v>
      </c>
      <c r="H52" s="8" t="n">
        <v>46318</v>
      </c>
      <c r="I52" s="9">
        <f>IF(AND(G52&lt;&gt;"",H52&lt;&gt;""),H52-G52+1,"")</f>
        <v/>
      </c>
      <c r="J52" s="10" t="inlineStr">
        <is>
          <t>23 Oct (0029_reviews.sql): after delivery the buyer rates the shop and each product (stars + comment) on My orders; stars on product cards, product page, shop page and Top shops; Top rated sort and 4-star filter; shop replies in Seller Center → Reviews; staff hide/show in Admin → Reviews. Demo reviews: supabase/seed/demo_reviews.sql</t>
        </is>
      </c>
    </row>
    <row r="53">
      <c r="A53" s="4" t="n">
        <v>6</v>
      </c>
      <c r="B53" s="5" t="inlineStr">
        <is>
          <t>Reviews, Notifications &amp; Trust</t>
        </is>
      </c>
      <c r="C53" s="6" t="inlineStr">
        <is>
          <t>6.2</t>
        </is>
      </c>
      <c r="D53" s="5" t="inlineStr">
        <is>
          <t>Notifications</t>
        </is>
      </c>
      <c r="E53" s="5" t="inlineStr">
        <is>
          <t>Email, SMS and in-app alerts for orders and approvals</t>
        </is>
      </c>
      <c r="F53" s="7" t="inlineStr">
        <is>
          <t>In progress</t>
        </is>
      </c>
      <c r="G53" s="8" t="n">
        <v>46317</v>
      </c>
      <c r="H53" s="8" t="n"/>
      <c r="I53" s="9">
        <f>IF(AND(G53&lt;&gt;"",H53&lt;&gt;""),H53-G53+1,"")</f>
        <v/>
      </c>
      <c r="J53" s="10" t="inlineStr">
        <is>
          <t>23 Oct: Alerts page + header bell + email via Resend for orders, payments, listing review, shop approval, messages, Featured/ad ending soon. Each person can switch emails off. Email sending pending, see 7.8. SMS later</t>
        </is>
      </c>
    </row>
    <row r="54">
      <c r="A54" s="4" t="n">
        <v>6</v>
      </c>
      <c r="B54" s="5" t="inlineStr">
        <is>
          <t>Reviews, Notifications &amp; Trust</t>
        </is>
      </c>
      <c r="C54" s="6" t="inlineStr">
        <is>
          <t>6.3</t>
        </is>
      </c>
      <c r="D54" s="5" t="inlineStr">
        <is>
          <t>Product Q&amp;A</t>
        </is>
      </c>
      <c r="E54" s="5" t="inlineStr">
        <is>
          <t>Customers ask questions; sellers answer</t>
        </is>
      </c>
      <c r="F54" s="7" t="inlineStr">
        <is>
          <t>Done</t>
        </is>
      </c>
      <c r="G54" s="8" t="n">
        <v>46318</v>
      </c>
      <c r="H54" s="8" t="n">
        <v>46318</v>
      </c>
      <c r="I54" s="9">
        <f>IF(AND(G54&lt;&gt;"",H54&lt;&gt;""),H54-G54+1,"")</f>
        <v/>
      </c>
      <c r="J54" s="10" t="inlineStr">
        <is>
          <t>23 Oct (0032_product_questions.sql): Questions &amp; answers on product pages (guests too); seller answers on the product page or Seller Center → Questions; buyer alerted; free one-time listings cannot put phone/email/links in answers; Admin → Questions hide/show</t>
        </is>
      </c>
    </row>
    <row r="55">
      <c r="A55" s="4" t="n">
        <v>6</v>
      </c>
      <c r="B55" s="5" t="inlineStr">
        <is>
          <t>Reviews, Notifications &amp; Trust</t>
        </is>
      </c>
      <c r="C55" s="6" t="inlineStr">
        <is>
          <t>6.4</t>
        </is>
      </c>
      <c r="D55" s="5" t="inlineStr">
        <is>
          <t>Seller verification</t>
        </is>
      </c>
      <c r="E55" s="5" t="inlineStr">
        <is>
          <t>Upload NID / trade license documents for approval</t>
        </is>
      </c>
      <c r="F55" s="7" t="inlineStr">
        <is>
          <t>Done</t>
        </is>
      </c>
      <c r="G55" s="8" t="n">
        <v>46318</v>
      </c>
      <c r="H55" s="8" t="n">
        <v>46318</v>
      </c>
      <c r="I55" s="9">
        <f>IF(AND(G55&lt;&gt;"",H55&lt;&gt;""),H55-G55+1,"")</f>
        <v/>
      </c>
      <c r="J55" s="10" t="inlineStr">
        <is>
          <t>23 Oct (0038_seller_verification.sql): Seller Center → Get verified (NID / trade licence / passport, up to 4 private files); Admin → Verification approve / reject with note, remove badge; '✓ Verified shop' on shop page, product page and Top shops; only staff can set the badge</t>
        </is>
      </c>
    </row>
    <row r="56">
      <c r="A56" s="4" t="n">
        <v>6</v>
      </c>
      <c r="B56" s="5" t="inlineStr">
        <is>
          <t>Reviews, Notifications &amp; Trust</t>
        </is>
      </c>
      <c r="C56" s="6" t="inlineStr">
        <is>
          <t>6.5</t>
        </is>
      </c>
      <c r="D56" s="5" t="inlineStr">
        <is>
          <t>Fraud &amp; reports</t>
        </is>
      </c>
      <c r="E56" s="5" t="inlineStr">
        <is>
          <t>Report products/sellers; flag risky COD orders</t>
        </is>
      </c>
      <c r="F56" s="7" t="inlineStr">
        <is>
          <t>Done</t>
        </is>
      </c>
      <c r="G56" s="8" t="n">
        <v>46318</v>
      </c>
      <c r="H56" s="8" t="n">
        <v>46318</v>
      </c>
      <c r="I56" s="9">
        <f>IF(AND(G56&lt;&gt;"",H56&lt;&gt;""),H56-G56+1,"")</f>
        <v/>
      </c>
      <c r="J56" s="10" t="inlineStr">
        <is>
          <t>23 Oct (0030_reports_fraud.sql): Report this product / shop on product, shop and My orders pages (also guests); Admin → Complaints (to check / closed, note, resolved / dismissed, reporter alerted); Seller Center orders show buyer history from all shops (delivered, refused, cancelled) with Risky / Check first / Trusted / New labels; quick cancel reasons incl. Customer refused the parcel</t>
        </is>
      </c>
    </row>
    <row r="57">
      <c r="A57" s="11" t="n">
        <v>7</v>
      </c>
      <c r="B57" s="12" t="inlineStr">
        <is>
          <t>Launch</t>
        </is>
      </c>
      <c r="C57" s="13" t="inlineStr">
        <is>
          <t>7.1</t>
        </is>
      </c>
      <c r="D57" s="12" t="inlineStr">
        <is>
          <t>Hosting &amp; domain</t>
        </is>
      </c>
      <c r="E57" s="12" t="inlineStr">
        <is>
          <t>Put site online (e.g. Vercel/Netlify) on your domain</t>
        </is>
      </c>
      <c r="F57" s="7" t="inlineStr">
        <is>
          <t>Not started</t>
        </is>
      </c>
      <c r="G57" s="8" t="n"/>
      <c r="H57" s="8" t="n"/>
      <c r="I57" s="14">
        <f>IF(AND(G57&lt;&gt;"",H57&lt;&gt;""),H57-G57+1,"")</f>
        <v/>
      </c>
      <c r="J57" s="10" t="inlineStr"/>
    </row>
    <row r="58">
      <c r="A58" s="11" t="n">
        <v>7</v>
      </c>
      <c r="B58" s="12" t="inlineStr">
        <is>
          <t>Launch</t>
        </is>
      </c>
      <c r="C58" s="13" t="inlineStr">
        <is>
          <t>7.2</t>
        </is>
      </c>
      <c r="D58" s="12" t="inlineStr">
        <is>
          <t>Email sender</t>
        </is>
      </c>
      <c r="E58" s="12" t="inlineStr">
        <is>
          <t>Custom SMTP and branded auth email templates</t>
        </is>
      </c>
      <c r="F58" s="7" t="inlineStr">
        <is>
          <t>Not started</t>
        </is>
      </c>
      <c r="G58" s="8" t="n"/>
      <c r="H58" s="8" t="n"/>
      <c r="I58" s="14">
        <f>IF(AND(G58&lt;&gt;"",H58&lt;&gt;""),H58-G58+1,"")</f>
        <v/>
      </c>
      <c r="J58" s="10" t="inlineStr">
        <is>
          <t>Supabase free email is limited to a few per hour</t>
        </is>
      </c>
    </row>
    <row r="59">
      <c r="A59" s="11" t="n">
        <v>7</v>
      </c>
      <c r="B59" s="12" t="inlineStr">
        <is>
          <t>Launch</t>
        </is>
      </c>
      <c r="C59" s="13" t="inlineStr">
        <is>
          <t>7.3</t>
        </is>
      </c>
      <c r="D59" s="12" t="inlineStr">
        <is>
          <t>Policies</t>
        </is>
      </c>
      <c r="E59" s="12" t="inlineStr">
        <is>
          <t>Privacy policy, terms, return &amp; refund policy</t>
        </is>
      </c>
      <c r="F59" s="7" t="inlineStr">
        <is>
          <t>In progress</t>
        </is>
      </c>
      <c r="G59" s="8" t="n">
        <v>46318</v>
      </c>
      <c r="H59" s="8" t="n"/>
      <c r="I59" s="14">
        <f>IF(AND(G59&lt;&gt;"",H59&lt;&gt;""),H59-G59+1,"")</f>
        <v/>
      </c>
      <c r="J59" s="10" t="inlineStr">
        <is>
          <t>23 Oct (0039_site_pages.sql): About, Contact, Terms, Privacy, Return &amp; refund, Seller rules pages in English and Bangla (page.html?p=…), linked in every footer, editable in Admin → Pages &amp; policies. TO DO by owner: fill the [square bracket] parts (support email/phone, address, date) and have a lawyer check Terms and Privacy</t>
        </is>
      </c>
    </row>
    <row r="60">
      <c r="A60" s="11" t="n">
        <v>7</v>
      </c>
      <c r="B60" s="12" t="inlineStr">
        <is>
          <t>Launch</t>
        </is>
      </c>
      <c r="C60" s="13" t="inlineStr">
        <is>
          <t>7.4</t>
        </is>
      </c>
      <c r="D60" s="12" t="inlineStr">
        <is>
          <t>Security review</t>
        </is>
      </c>
      <c r="E60" s="12" t="inlineStr">
        <is>
          <t>Re-check all database security rules and admin access</t>
        </is>
      </c>
      <c r="F60" s="7" t="inlineStr">
        <is>
          <t>In progress</t>
        </is>
      </c>
      <c r="G60" s="8" t="n">
        <v>46318</v>
      </c>
      <c r="H60" s="8" t="n"/>
      <c r="I60" s="14">
        <f>IF(AND(G60&lt;&gt;"",H60&lt;&gt;""),H60-G60+1,"")</f>
        <v/>
      </c>
      <c r="J60" s="10" t="inlineStr">
        <is>
          <t>23 Oct: review done (docs/SECURITY_REVIEW.md). 0040_security_fixes.sql fixes public reviews/questions being editable by anyone, enforces the Featured lock, tightens return-photo uploads and default rights. 0040 run 23 Oct (0 · 2). Owner to do: Supabase Security Advisor screenshot, CAPTCHA + backups before launch</t>
        </is>
      </c>
    </row>
    <row r="61">
      <c r="A61" s="11" t="n">
        <v>7</v>
      </c>
      <c r="B61" s="12" t="inlineStr">
        <is>
          <t>Launch</t>
        </is>
      </c>
      <c r="C61" s="13" t="inlineStr">
        <is>
          <t>7.5</t>
        </is>
      </c>
      <c r="D61" s="12" t="inlineStr">
        <is>
          <t>Testing</t>
        </is>
      </c>
      <c r="E61" s="12" t="inlineStr">
        <is>
          <t>Full test with real customers, sellers and staff</t>
        </is>
      </c>
      <c r="F61" s="7" t="inlineStr">
        <is>
          <t>Not started</t>
        </is>
      </c>
      <c r="G61" s="8" t="n"/>
      <c r="H61" s="8" t="n"/>
      <c r="I61" s="14">
        <f>IF(AND(G61&lt;&gt;"",H61&lt;&gt;""),H61-G61+1,"")</f>
        <v/>
      </c>
      <c r="J61" s="10" t="inlineStr"/>
    </row>
    <row r="62">
      <c r="A62" s="11" t="n">
        <v>7</v>
      </c>
      <c r="B62" s="12" t="inlineStr">
        <is>
          <t>Launch</t>
        </is>
      </c>
      <c r="C62" s="13" t="inlineStr">
        <is>
          <t>7.6</t>
        </is>
      </c>
      <c r="D62" s="12" t="inlineStr">
        <is>
          <t>SEO &amp; speed</t>
        </is>
      </c>
      <c r="E62" s="12" t="inlineStr">
        <is>
          <t>Page titles, sharing previews, image sizes, sitemap</t>
        </is>
      </c>
      <c r="F62" s="7" t="inlineStr">
        <is>
          <t>Done</t>
        </is>
      </c>
      <c r="G62" s="8" t="n">
        <v>46318</v>
      </c>
      <c r="H62" s="8" t="n">
        <v>46318</v>
      </c>
      <c r="I62" s="14">
        <f>IF(AND(G62&lt;&gt;"",H62&lt;&gt;""),H62-G62+1,"")</f>
        <v/>
      </c>
      <c r="J62" s="10" t="inlineStr">
        <is>
          <t>23 Oct: page descriptions and share tags on every page, branded share picture, share.php link previews for products and shops (Facebook / WhatsApp / Messenger) + Share button, Google product details (price, stock, stars), sitemap.xml rebuilt every night by the deploy workflow, robots.txt (private pages hidden), 404 page, .htaccess compression and caching, app manifest. Set repository variable SITE_URL when the real domain is ready</t>
        </is>
      </c>
    </row>
    <row r="63">
      <c r="A63" s="11" t="n">
        <v>7</v>
      </c>
      <c r="B63" s="12" t="inlineStr">
        <is>
          <t>Launch</t>
        </is>
      </c>
      <c r="C63" s="13" t="inlineStr">
        <is>
          <t>7.7</t>
        </is>
      </c>
      <c r="D63" s="12" t="inlineStr">
        <is>
          <t>Go live &amp; backups</t>
        </is>
      </c>
      <c r="E63" s="12" t="inlineStr">
        <is>
          <t>Launch, monitoring, database backups</t>
        </is>
      </c>
      <c r="F63" s="7" t="inlineStr">
        <is>
          <t>Not started</t>
        </is>
      </c>
      <c r="G63" s="8" t="n"/>
      <c r="H63" s="8" t="n"/>
      <c r="I63" s="14">
        <f>IF(AND(G63&lt;&gt;"",H63&lt;&gt;""),H63-G63+1,"")</f>
        <v/>
      </c>
      <c r="J63" s="10" t="inlineStr"/>
    </row>
    <row r="64">
      <c r="A64" s="11" t="n">
        <v>7</v>
      </c>
      <c r="B64" s="12" t="inlineStr">
        <is>
          <t>Launch</t>
        </is>
      </c>
      <c r="C64" s="13" t="inlineStr">
        <is>
          <t>7.8</t>
        </is>
      </c>
      <c r="D64" s="12" t="inlineStr">
        <is>
          <t>Email alerts (sending)</t>
        </is>
      </c>
      <c r="E64" s="12" t="inlineStr">
        <is>
          <t>Send the alerts by email from our own domain through Resend</t>
        </is>
      </c>
      <c r="F64" s="7" t="inlineStr">
        <is>
          <t>Blocked</t>
        </is>
      </c>
      <c r="G64" s="8" t="n"/>
      <c r="H64" s="8" t="n"/>
      <c r="I64" s="14">
        <f>IF(AND(G64&lt;&gt;"",H64&lt;&gt;""),H64-G64+1,"")</f>
        <v/>
      </c>
      <c r="J64" s="10" t="inlineStr">
        <is>
          <t>PENDING, set up later (owner, 23 Oct): waits for the real domain. Steps: Resend account + domain DNS records in Hostinger; deploy Edge Function send-alerts (in the repo); secrets RESEND_API_KEY, ALERT_FROM, SITE_URL; Supabase Cron every 5 min; first add a rule so only recent alerts are emailed. Alerts already show on the site (0021_alerts.sql run)</t>
        </is>
      </c>
    </row>
    <row r="65">
      <c r="A65" s="11" t="n">
        <v>7</v>
      </c>
      <c r="B65" s="12" t="inlineStr">
        <is>
          <t>Launch</t>
        </is>
      </c>
      <c r="C65" s="13" t="inlineStr">
        <is>
          <t>7.9</t>
        </is>
      </c>
      <c r="D65" s="12" t="inlineStr">
        <is>
          <t>Remove demo data</t>
        </is>
      </c>
      <c r="E65" s="12" t="inlineStr">
        <is>
          <t>Delete the 3 demo sellers, their 100 demo products and the demo home sections before launch</t>
        </is>
      </c>
      <c r="F65" s="7" t="inlineStr">
        <is>
          <t>Not started</t>
        </is>
      </c>
      <c r="G65" s="8" t="n"/>
      <c r="H65" s="8" t="n"/>
      <c r="I65" s="14">
        <f>IF(AND(G65&lt;&gt;"",H65&lt;&gt;""),H65-G65+1,"")</f>
        <v/>
      </c>
      <c r="J65" s="10" t="inlineStr">
        <is>
          <t>Run supabase/seed/demo_products_remove.sql in the SQL Editor (added 23 Oct for study and testing)</t>
        </is>
      </c>
    </row>
    <row r="66">
      <c r="A66" s="4" t="n">
        <v>8</v>
      </c>
      <c r="B66" s="5" t="inlineStr">
        <is>
          <t>Extra work (added on owner's request)</t>
        </is>
      </c>
      <c r="C66" s="6" t="inlineStr">
        <is>
          <t>8.1</t>
        </is>
      </c>
      <c r="D66" s="5" t="inlineStr">
        <is>
          <t>Brand header &amp; logo</t>
        </is>
      </c>
      <c r="E66" s="5" t="inlineStr">
        <is>
          <t>Basket logo with 'Red &amp; Green Basket' wordmark in logo colours on a white pill; green band with yellow rule</t>
        </is>
      </c>
      <c r="F66" s="7" t="inlineStr">
        <is>
          <t>Done</t>
        </is>
      </c>
      <c r="G66" s="8" t="n">
        <v>46317</v>
      </c>
      <c r="H66" s="8" t="n">
        <v>46317</v>
      </c>
      <c r="I66" s="9">
        <f>IF(AND(G66&lt;&gt;"",H66&lt;&gt;""),H66-G66+1,"")</f>
        <v/>
      </c>
      <c r="J66" s="10" t="inlineStr">
        <is>
          <t>22 Oct</t>
        </is>
      </c>
    </row>
    <row r="67">
      <c r="A67" s="4" t="n">
        <v>8</v>
      </c>
      <c r="B67" s="5" t="inlineStr">
        <is>
          <t>Extra work (added on owner's request)</t>
        </is>
      </c>
      <c r="C67" s="6" t="inlineStr">
        <is>
          <t>8.2</t>
        </is>
      </c>
      <c r="D67" s="5" t="inlineStr">
        <is>
          <t>Password eye &amp; confirm</t>
        </is>
      </c>
      <c r="E67" s="5" t="inlineStr">
        <is>
          <t>Show/hide password on every password box; confirm password on sign-up and reset</t>
        </is>
      </c>
      <c r="F67" s="7" t="inlineStr">
        <is>
          <t>Done</t>
        </is>
      </c>
      <c r="G67" s="8" t="n">
        <v>46317</v>
      </c>
      <c r="H67" s="8" t="n">
        <v>46317</v>
      </c>
      <c r="I67" s="9">
        <f>IF(AND(G67&lt;&gt;"",H67&lt;&gt;""),H67-G67+1,"")</f>
        <v/>
      </c>
      <c r="J67" s="10" t="inlineStr">
        <is>
          <t>22 Oct</t>
        </is>
      </c>
    </row>
    <row r="68">
      <c r="A68" s="4" t="n">
        <v>8</v>
      </c>
      <c r="B68" s="5" t="inlineStr">
        <is>
          <t>Extra work (added on owner's request)</t>
        </is>
      </c>
      <c r="C68" s="6" t="inlineStr">
        <is>
          <t>8.3</t>
        </is>
      </c>
      <c r="D68" s="5" t="inlineStr">
        <is>
          <t>Main menu editor</t>
        </is>
      </c>
      <c r="E68" s="5" t="inlineStr">
        <is>
          <t>Admin → Main menu: links, hot items, groups of categories (Electronics, Fashion)</t>
        </is>
      </c>
      <c r="F68" s="7" t="inlineStr">
        <is>
          <t>Done</t>
        </is>
      </c>
      <c r="G68" s="8" t="n">
        <v>46317</v>
      </c>
      <c r="H68" s="8" t="n">
        <v>46317</v>
      </c>
      <c r="I68" s="9">
        <f>IF(AND(G68&lt;&gt;"",H68&lt;&gt;""),H68-G68+1,"")</f>
        <v/>
      </c>
      <c r="J68" s="10" t="inlineStr">
        <is>
          <t>22 Oct (0016, 0017)</t>
        </is>
      </c>
    </row>
    <row r="69">
      <c r="A69" s="4" t="n">
        <v>8</v>
      </c>
      <c r="B69" s="5" t="inlineStr">
        <is>
          <t>Extra work (added on owner's request)</t>
        </is>
      </c>
      <c r="C69" s="6" t="inlineStr">
        <is>
          <t>8.4</t>
        </is>
      </c>
      <c r="D69" s="5" t="inlineStr">
        <is>
          <t>One-time seller Free / Featured</t>
        </is>
      </c>
      <c r="E69" s="5" t="inlineStr">
        <is>
          <t>sell.html: free listing (message only, phone hidden) or Featured (call, WhatsApp, email); enforced in the database</t>
        </is>
      </c>
      <c r="F69" s="7" t="inlineStr">
        <is>
          <t>Done</t>
        </is>
      </c>
      <c r="G69" s="8" t="n">
        <v>46317</v>
      </c>
      <c r="H69" s="8" t="n">
        <v>46317</v>
      </c>
      <c r="I69" s="9">
        <f>IF(AND(G69&lt;&gt;"",H69&lt;&gt;""),H69-G69+1,"")</f>
        <v/>
      </c>
      <c r="J69" s="10" t="inlineStr">
        <is>
          <t>22 Oct</t>
        </is>
      </c>
    </row>
    <row r="70">
      <c r="A70" s="4" t="n">
        <v>8</v>
      </c>
      <c r="B70" s="5" t="inlineStr">
        <is>
          <t>Extra work (added on owner's request)</t>
        </is>
      </c>
      <c r="C70" s="6" t="inlineStr">
        <is>
          <t>8.5</t>
        </is>
      </c>
      <c r="D70" s="5" t="inlineStr">
        <is>
          <t>Admin tools</t>
        </is>
      </c>
      <c r="E70" s="5" t="inlineStr">
        <is>
          <t>Admin adds products (RGBKart Official or a seller), gives Featured free, sets ad rates, books ads, reports with CSV</t>
        </is>
      </c>
      <c r="F70" s="7" t="inlineStr">
        <is>
          <t>Done</t>
        </is>
      </c>
      <c r="G70" s="8" t="n">
        <v>46317</v>
      </c>
      <c r="H70" s="8" t="n">
        <v>46317</v>
      </c>
      <c r="I70" s="9">
        <f>IF(AND(G70&lt;&gt;"",H70&lt;&gt;""),H70-G70+1,"")</f>
        <v/>
      </c>
      <c r="J70" s="10" t="inlineStr">
        <is>
          <t>22 Oct (0018)</t>
        </is>
      </c>
    </row>
    <row r="71">
      <c r="A71" s="4" t="n">
        <v>8</v>
      </c>
      <c r="B71" s="5" t="inlineStr">
        <is>
          <t>Extra work (added on owner's request)</t>
        </is>
      </c>
      <c r="C71" s="6" t="inlineStr">
        <is>
          <t>8.6</t>
        </is>
      </c>
      <c r="D71" s="5" t="inlineStr">
        <is>
          <t>Payments check</t>
        </is>
      </c>
      <c r="E71" s="5" t="inlineStr">
        <is>
          <t>bKash, Nagad, Upay, Rocket numbers; one TrxID can be used only once; admin verifies and Featured / ad starts</t>
        </is>
      </c>
      <c r="F71" s="7" t="inlineStr">
        <is>
          <t>Done</t>
        </is>
      </c>
      <c r="G71" s="8" t="n">
        <v>46317</v>
      </c>
      <c r="H71" s="8" t="n">
        <v>46317</v>
      </c>
      <c r="I71" s="9">
        <f>IF(AND(G71&lt;&gt;"",H71&lt;&gt;""),H71-G71+1,"")</f>
        <v/>
      </c>
      <c r="J71" s="10" t="inlineStr">
        <is>
          <t>22 Oct (0019)</t>
        </is>
      </c>
    </row>
    <row r="72">
      <c r="A72" s="4" t="n">
        <v>8</v>
      </c>
      <c r="B72" s="5" t="inlineStr">
        <is>
          <t>Extra work (added on owner's request)</t>
        </is>
      </c>
      <c r="C72" s="6" t="inlineStr">
        <is>
          <t>8.7</t>
        </is>
      </c>
      <c r="D72" s="5" t="inlineStr">
        <is>
          <t>Alerts page &amp; bell</t>
        </is>
      </c>
      <c r="E72" s="5" t="inlineStr">
        <is>
          <t>Alerts page, bell in header with unread count, email on/off switch (emails wait for 7.8)</t>
        </is>
      </c>
      <c r="F72" s="7" t="inlineStr">
        <is>
          <t>Done</t>
        </is>
      </c>
      <c r="G72" s="8" t="n">
        <v>46318</v>
      </c>
      <c r="H72" s="8" t="n">
        <v>46318</v>
      </c>
      <c r="I72" s="9">
        <f>IF(AND(G72&lt;&gt;"",H72&lt;&gt;""),H72-G72+1,"")</f>
        <v/>
      </c>
      <c r="J72" s="10" t="inlineStr">
        <is>
          <t>23 Oct (0021)</t>
        </is>
      </c>
    </row>
    <row r="73">
      <c r="A73" s="4" t="n">
        <v>8</v>
      </c>
      <c r="B73" s="5" t="inlineStr">
        <is>
          <t>Extra work (added on owner's request)</t>
        </is>
      </c>
      <c r="C73" s="6" t="inlineStr">
        <is>
          <t>8.8</t>
        </is>
      </c>
      <c r="D73" s="5" t="inlineStr">
        <is>
          <t>Language switch with flags</t>
        </is>
      </c>
      <c r="E73" s="5" t="inlineStr">
        <is>
          <t>Bangladesh / UK flag button in menu bar, footer, sign-in and sell pages</t>
        </is>
      </c>
      <c r="F73" s="7" t="inlineStr">
        <is>
          <t>Done</t>
        </is>
      </c>
      <c r="G73" s="8" t="n">
        <v>46318</v>
      </c>
      <c r="H73" s="8" t="n">
        <v>46318</v>
      </c>
      <c r="I73" s="9">
        <f>IF(AND(G73&lt;&gt;"",H73&lt;&gt;""),H73-G73+1,"")</f>
        <v/>
      </c>
      <c r="J73" s="10" t="inlineStr">
        <is>
          <t>23 Oct</t>
        </is>
      </c>
    </row>
    <row r="74">
      <c r="A74" s="4" t="n">
        <v>8</v>
      </c>
      <c r="B74" s="5" t="inlineStr">
        <is>
          <t>Extra work (added on owner's request)</t>
        </is>
      </c>
      <c r="C74" s="6" t="inlineStr">
        <is>
          <t>8.9</t>
        </is>
      </c>
      <c r="D74" s="5" t="inlineStr">
        <is>
          <t>Demo data for testing</t>
        </is>
      </c>
      <c r="E74" s="5" t="inlineStr">
        <is>
          <t>100 demo products (every case), 12 demo shops, demo home sections; remove before launch (7.9)</t>
        </is>
      </c>
      <c r="F74" s="7" t="inlineStr">
        <is>
          <t>Done</t>
        </is>
      </c>
      <c r="G74" s="8" t="n">
        <v>46318</v>
      </c>
      <c r="H74" s="8" t="n">
        <v>46318</v>
      </c>
      <c r="I74" s="9">
        <f>IF(AND(G74&lt;&gt;"",H74&lt;&gt;""),H74-G74+1,"")</f>
        <v/>
      </c>
      <c r="J74" s="10" t="inlineStr">
        <is>
          <t>23 Oct (supabase/seed)</t>
        </is>
      </c>
    </row>
    <row r="75">
      <c r="A75" s="4" t="n">
        <v>8</v>
      </c>
      <c r="B75" s="5" t="inlineStr">
        <is>
          <t>Extra work (added on owner's request)</t>
        </is>
      </c>
      <c r="C75" s="6" t="inlineStr">
        <is>
          <t>8.10</t>
        </is>
      </c>
      <c r="D75" s="5" t="inlineStr">
        <is>
          <t>Fixed header &amp; menu</t>
        </is>
      </c>
      <c r="E75" s="5" t="inlineStr">
        <is>
          <t>Header and main menu stay at the top while scrolling on every shop page</t>
        </is>
      </c>
      <c r="F75" s="7" t="inlineStr">
        <is>
          <t>Done</t>
        </is>
      </c>
      <c r="G75" s="8" t="n">
        <v>46318</v>
      </c>
      <c r="H75" s="8" t="n">
        <v>46318</v>
      </c>
      <c r="I75" s="9">
        <f>IF(AND(G75&lt;&gt;"",H75&lt;&gt;""),H75-G75+1,"")</f>
        <v/>
      </c>
      <c r="J75" s="10" t="inlineStr">
        <is>
          <t>23 Oct</t>
        </is>
      </c>
    </row>
    <row r="76">
      <c r="A76" s="4" t="n">
        <v>8</v>
      </c>
      <c r="B76" s="5" t="inlineStr">
        <is>
          <t>Extra work (added on owner's request)</t>
        </is>
      </c>
      <c r="C76" s="6" t="inlineStr">
        <is>
          <t>8.11</t>
        </is>
      </c>
      <c r="D76" s="5" t="inlineStr">
        <is>
          <t>Page numbers</t>
        </is>
      </c>
      <c r="E76" s="5" t="inlineStr">
        <is>
          <t>Previous / Next and page numbers on product lists and shop pages</t>
        </is>
      </c>
      <c r="F76" s="7" t="inlineStr">
        <is>
          <t>Done</t>
        </is>
      </c>
      <c r="G76" s="8" t="n">
        <v>46318</v>
      </c>
      <c r="H76" s="8" t="n">
        <v>46318</v>
      </c>
      <c r="I76" s="9">
        <f>IF(AND(G76&lt;&gt;"",H76&lt;&gt;""),H76-G76+1,"")</f>
        <v/>
      </c>
      <c r="J76" s="10" t="inlineStr">
        <is>
          <t>23 Oct</t>
        </is>
      </c>
    </row>
    <row r="77">
      <c r="A77" s="4" t="n">
        <v>8</v>
      </c>
      <c r="B77" s="5" t="inlineStr">
        <is>
          <t>Extra work (added on owner's request)</t>
        </is>
      </c>
      <c r="C77" s="6" t="inlineStr">
        <is>
          <t>8.12</t>
        </is>
      </c>
      <c r="D77" s="5" t="inlineStr">
        <is>
          <t>Pictures by admin</t>
        </is>
      </c>
      <c r="E77" s="5" t="inlineStr">
        <is>
          <t>Upload a picture per category; add, remove and re-order photos of any product</t>
        </is>
      </c>
      <c r="F77" s="7" t="inlineStr">
        <is>
          <t>Done</t>
        </is>
      </c>
      <c r="G77" s="8" t="n">
        <v>46318</v>
      </c>
      <c r="H77" s="8" t="n">
        <v>46318</v>
      </c>
      <c r="I77" s="9">
        <f>IF(AND(G77&lt;&gt;"",H77&lt;&gt;""),H77-G77+1,"")</f>
        <v/>
      </c>
      <c r="J77" s="10" t="inlineStr">
        <is>
          <t>23 Oct (0025)</t>
        </is>
      </c>
    </row>
    <row r="78">
      <c r="A78" s="4" t="n">
        <v>8</v>
      </c>
      <c r="B78" s="5" t="inlineStr">
        <is>
          <t>Extra work (added on owner's request)</t>
        </is>
      </c>
      <c r="C78" s="6" t="inlineStr">
        <is>
          <t>8.13</t>
        </is>
      </c>
      <c r="D78" s="5" t="inlineStr">
        <is>
          <t>Shop page look</t>
        </is>
      </c>
      <c r="E78" s="5" t="inlineStr">
        <is>
          <t>Picture icons in the category sidebar, light green sidebar, brand-coloured sub-category buttons</t>
        </is>
      </c>
      <c r="F78" s="7" t="inlineStr">
        <is>
          <t>Done</t>
        </is>
      </c>
      <c r="G78" s="8" t="n">
        <v>46318</v>
      </c>
      <c r="H78" s="8" t="n">
        <v>46318</v>
      </c>
      <c r="I78" s="9">
        <f>IF(AND(G78&lt;&gt;"",H78&lt;&gt;""),H78-G78+1,"")</f>
        <v/>
      </c>
      <c r="J78" s="10" t="inlineStr">
        <is>
          <t>23 Oct</t>
        </is>
      </c>
    </row>
    <row r="79">
      <c r="A79" s="4" t="n">
        <v>8</v>
      </c>
      <c r="B79" s="5" t="inlineStr">
        <is>
          <t>Extra work (added on owner's request)</t>
        </is>
      </c>
      <c r="C79" s="6" t="inlineStr">
        <is>
          <t>8.14</t>
        </is>
      </c>
      <c r="D79" s="5" t="inlineStr">
        <is>
          <t>Visit shop button</t>
        </is>
      </c>
      <c r="E79" s="5" t="inlineStr">
        <is>
          <t>Green 'Visit shop' button on the product page</t>
        </is>
      </c>
      <c r="F79" s="7" t="inlineStr">
        <is>
          <t>Done</t>
        </is>
      </c>
      <c r="G79" s="8" t="n">
        <v>46318</v>
      </c>
      <c r="H79" s="8" t="n">
        <v>46318</v>
      </c>
      <c r="I79" s="9">
        <f>IF(AND(G79&lt;&gt;"",H79&lt;&gt;""),H79-G79+1,"")</f>
        <v/>
      </c>
      <c r="J79" s="10" t="inlineStr">
        <is>
          <t>23 Oct</t>
        </is>
      </c>
    </row>
    <row r="80">
      <c r="A80" s="4" t="n">
        <v>8</v>
      </c>
      <c r="B80" s="5" t="inlineStr">
        <is>
          <t>Extra work (added on owner's request)</t>
        </is>
      </c>
      <c r="C80" s="6" t="inlineStr">
        <is>
          <t>8.15</t>
        </is>
      </c>
      <c r="D80" s="5" t="inlineStr">
        <is>
          <t>Top shops sliding row</t>
        </is>
      </c>
      <c r="E80" s="5" t="inlineStr">
        <is>
          <t>Home page row of shops (logo, banner, name, counts), glides continuously; admin sets movement, speed, direction</t>
        </is>
      </c>
      <c r="F80" s="7" t="inlineStr">
        <is>
          <t>Done</t>
        </is>
      </c>
      <c r="G80" s="8" t="n">
        <v>46318</v>
      </c>
      <c r="H80" s="8" t="n">
        <v>46318</v>
      </c>
      <c r="I80" s="9">
        <f>IF(AND(G80&lt;&gt;"",H80&lt;&gt;""),H80-G80+1,"")</f>
        <v/>
      </c>
      <c r="J80" s="10" t="inlineStr">
        <is>
          <t>23 Oct (0026, 0027)</t>
        </is>
      </c>
    </row>
    <row r="81">
      <c r="A81" s="4" t="n">
        <v>8</v>
      </c>
      <c r="B81" s="5" t="inlineStr">
        <is>
          <t>Extra work (added on owner's request)</t>
        </is>
      </c>
      <c r="C81" s="6" t="inlineStr">
        <is>
          <t>8.16</t>
        </is>
      </c>
      <c r="D81" s="5" t="inlineStr">
        <is>
          <t>More home section types</t>
        </is>
      </c>
      <c r="E81" s="5" t="inlineStr">
        <is>
          <t>Sections for products with options, brand new only, price negotiable</t>
        </is>
      </c>
      <c r="F81" s="7" t="inlineStr">
        <is>
          <t>Done</t>
        </is>
      </c>
      <c r="G81" s="8" t="n">
        <v>46318</v>
      </c>
      <c r="H81" s="8" t="n">
        <v>46318</v>
      </c>
      <c r="I81" s="9">
        <f>IF(AND(G81&lt;&gt;"",H81&lt;&gt;""),H81-G81+1,"")</f>
        <v/>
      </c>
      <c r="J81" s="10" t="inlineStr">
        <is>
          <t>23 Oct (0023)</t>
        </is>
      </c>
    </row>
    <row r="82">
      <c r="A82" s="4" t="n">
        <v>8</v>
      </c>
      <c r="B82" s="5" t="inlineStr">
        <is>
          <t>Extra work (added on owner's request)</t>
        </is>
      </c>
      <c r="C82" s="6" t="inlineStr">
        <is>
          <t>8.17</t>
        </is>
      </c>
      <c r="D82" s="5" t="inlineStr">
        <is>
          <t>Bulk prices at checkout</t>
        </is>
      </c>
      <c r="E82" s="5" t="inlineStr">
        <is>
          <t>'Buy more, pay less' prices now charged in the cart and the order (was only shown)</t>
        </is>
      </c>
      <c r="F82" s="7" t="inlineStr">
        <is>
          <t>Done</t>
        </is>
      </c>
      <c r="G82" s="8" t="n">
        <v>46318</v>
      </c>
      <c r="H82" s="8" t="n">
        <v>46318</v>
      </c>
      <c r="I82" s="9">
        <f>IF(AND(G82&lt;&gt;"",H82&lt;&gt;""),H82-G82+1,"")</f>
        <v/>
      </c>
      <c r="J82" s="10" t="inlineStr">
        <is>
          <t>23 Oct (0024)</t>
        </is>
      </c>
    </row>
    <row r="83">
      <c r="A83" s="4" t="n">
        <v>8</v>
      </c>
      <c r="B83" s="5" t="inlineStr">
        <is>
          <t>Extra work (added on owner's request)</t>
        </is>
      </c>
      <c r="C83" s="6" t="inlineStr">
        <is>
          <t>8.18</t>
        </is>
      </c>
      <c r="D83" s="5" t="inlineStr">
        <is>
          <t>Order printing for sellers</t>
        </is>
      </c>
      <c r="E83" s="5" t="inlineStr">
        <is>
          <t>Seller Center → Orders: print invoice, packing list, shipping label (one order or many ticked), Printer setup (paper, label size, copies, logo, barcode, note)</t>
        </is>
      </c>
      <c r="F83" s="7" t="inlineStr">
        <is>
          <t>Done</t>
        </is>
      </c>
      <c r="G83" s="8" t="n">
        <v>46318</v>
      </c>
      <c r="H83" s="8" t="n">
        <v>46318</v>
      </c>
      <c r="I83" s="9">
        <f>IF(AND(G83&lt;&gt;"",H83&lt;&gt;""),H83-G83+1,"")</f>
        <v/>
      </c>
      <c r="J83" s="10" t="inlineStr">
        <is>
          <t>23 Oct (no SQL)</t>
        </is>
      </c>
    </row>
  </sheetData>
  <autoFilter ref="A4:J83"/>
  <mergeCells count="1">
    <mergeCell ref="A2:J2"/>
  </mergeCells>
  <conditionalFormatting sqref="F5:F283">
    <cfRule type="expression" priority="1" dxfId="0">
      <formula>$F5="Done"</formula>
    </cfRule>
    <cfRule type="expression" priority="2" dxfId="1">
      <formula>$F5="In progress"</formula>
    </cfRule>
    <cfRule type="expression" priority="3" dxfId="2">
      <formula>$F5="Blocked"</formula>
    </cfRule>
    <cfRule type="expression" priority="4" dxfId="3">
      <formula>$F5="Not needed"</formula>
    </cfRule>
  </conditionalFormatting>
  <dataValidations count="2">
    <dataValidation sqref="F5:F283" showDropDown="0" showInputMessage="0" showErrorMessage="0" allowBlank="1" type="list">
      <formula1>"Not started,In progress,Blocked,Done,Not needed"</formula1>
    </dataValidation>
    <dataValidation sqref="G5:H283" showDropDown="0" showInputMessage="0" showErrorMessage="1" allowBlank="1" error="Enter a date, e.g. 22-Oct-2026" type="date" operator="greaterThan">
      <formula1>DATE(2020,1,1)</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8" customWidth="1" min="1" max="1"/>
    <col width="34" customWidth="1" min="2" max="2"/>
    <col width="11" customWidth="1" min="3" max="3"/>
    <col width="8" customWidth="1" min="4" max="4"/>
    <col width="11" customWidth="1" min="5" max="5"/>
    <col width="9" customWidth="1" min="6" max="6"/>
    <col width="11" customWidth="1" min="7" max="7"/>
    <col width="11" customWidth="1" min="8" max="8"/>
    <col width="13" customWidth="1" min="9" max="9"/>
    <col width="13" customWidth="1" min="10" max="10"/>
  </cols>
  <sheetData>
    <row r="1">
      <c r="A1" s="1" t="inlineStr">
        <is>
          <t>Progress by phase</t>
        </is>
      </c>
    </row>
    <row r="3">
      <c r="A3" s="3" t="inlineStr">
        <is>
          <t>Phase</t>
        </is>
      </c>
      <c r="B3" s="3" t="inlineStr">
        <is>
          <t>Phase name</t>
        </is>
      </c>
      <c r="C3" s="3" t="inlineStr">
        <is>
          <t>Sub-phases</t>
        </is>
      </c>
      <c r="D3" s="3" t="inlineStr">
        <is>
          <t>Done</t>
        </is>
      </c>
      <c r="E3" s="3" t="inlineStr">
        <is>
          <t>In progress</t>
        </is>
      </c>
      <c r="F3" s="3" t="inlineStr">
        <is>
          <t>Blocked</t>
        </is>
      </c>
      <c r="G3" s="3" t="inlineStr">
        <is>
          <t>Not started</t>
        </is>
      </c>
      <c r="H3" s="3" t="inlineStr">
        <is>
          <t>% complete</t>
        </is>
      </c>
      <c r="I3" s="3" t="inlineStr">
        <is>
          <t>First start</t>
        </is>
      </c>
      <c r="J3" s="3" t="inlineStr">
        <is>
          <t>Last end</t>
        </is>
      </c>
    </row>
    <row r="4">
      <c r="A4" s="15" t="n">
        <v>0</v>
      </c>
      <c r="B4" s="15" t="inlineStr">
        <is>
          <t>Foundation (accounts &amp; admin)</t>
        </is>
      </c>
      <c r="C4" s="15">
        <f>COUNTIF(Plan!$A$5:$A$283,A4)-COUNTIFS(Plan!$A$5:$A$283,A4,Plan!$F$5:$F$283,"Not needed")</f>
        <v/>
      </c>
      <c r="D4" s="15">
        <f>COUNTIFS(Plan!$A$5:$A$283,$A4,Plan!$F$5:$F$283,"Done")</f>
        <v/>
      </c>
      <c r="E4" s="15">
        <f>COUNTIFS(Plan!$A$5:$A$283,$A4,Plan!$F$5:$F$283,"In progress")</f>
        <v/>
      </c>
      <c r="F4" s="15">
        <f>COUNTIFS(Plan!$A$5:$A$283,$A4,Plan!$F$5:$F$283,"Blocked")</f>
        <v/>
      </c>
      <c r="G4" s="15">
        <f>C4-D4-E4-F4</f>
        <v/>
      </c>
      <c r="H4" s="16">
        <f>IF(C4=0,0,D4/C4)</f>
        <v/>
      </c>
      <c r="I4" s="17">
        <f>IF(_xlfn.MINIFS(Plan!$G$5:$G$283,Plan!$A$5:$A$283,A4)=0,"",_xlfn.MINIFS(Plan!$G$5:$G$283,Plan!$A$5:$A$283,A4))</f>
        <v/>
      </c>
      <c r="J4" s="17">
        <f>IF(_xlfn.MAXIFS(Plan!$H$5:$H$283,Plan!$A$5:$A$283,A4)=0,"",_xlfn.MAXIFS(Plan!$H$5:$H$283,Plan!$A$5:$A$283,A4))</f>
        <v/>
      </c>
    </row>
    <row r="5">
      <c r="A5" s="15" t="n">
        <v>1</v>
      </c>
      <c r="B5" s="15" t="inlineStr">
        <is>
          <t>Catalog &amp; Seller Products</t>
        </is>
      </c>
      <c r="C5" s="15">
        <f>COUNTIF(Plan!$A$5:$A$283,A5)-COUNTIFS(Plan!$A$5:$A$283,A5,Plan!$F$5:$F$283,"Not needed")</f>
        <v/>
      </c>
      <c r="D5" s="15">
        <f>COUNTIFS(Plan!$A$5:$A$283,$A5,Plan!$F$5:$F$283,"Done")</f>
        <v/>
      </c>
      <c r="E5" s="15">
        <f>COUNTIFS(Plan!$A$5:$A$283,$A5,Plan!$F$5:$F$283,"In progress")</f>
        <v/>
      </c>
      <c r="F5" s="15">
        <f>COUNTIFS(Plan!$A$5:$A$283,$A5,Plan!$F$5:$F$283,"Blocked")</f>
        <v/>
      </c>
      <c r="G5" s="15">
        <f>C5-D5-E5-F5</f>
        <v/>
      </c>
      <c r="H5" s="16">
        <f>IF(C5=0,0,D5/C5)</f>
        <v/>
      </c>
      <c r="I5" s="17">
        <f>IF(_xlfn.MINIFS(Plan!$G$5:$G$283,Plan!$A$5:$A$283,A5)=0,"",_xlfn.MINIFS(Plan!$G$5:$G$283,Plan!$A$5:$A$283,A5))</f>
        <v/>
      </c>
      <c r="J5" s="17">
        <f>IF(_xlfn.MAXIFS(Plan!$H$5:$H$283,Plan!$A$5:$A$283,A5)=0,"",_xlfn.MAXIFS(Plan!$H$5:$H$283,Plan!$A$5:$A$283,A5))</f>
        <v/>
      </c>
    </row>
    <row r="6">
      <c r="A6" s="15" t="n">
        <v>2</v>
      </c>
      <c r="B6" s="15" t="inlineStr">
        <is>
          <t>Customer Shopping</t>
        </is>
      </c>
      <c r="C6" s="15">
        <f>COUNTIF(Plan!$A$5:$A$283,A6)-COUNTIFS(Plan!$A$5:$A$283,A6,Plan!$F$5:$F$283,"Not needed")</f>
        <v/>
      </c>
      <c r="D6" s="15">
        <f>COUNTIFS(Plan!$A$5:$A$283,$A6,Plan!$F$5:$F$283,"Done")</f>
        <v/>
      </c>
      <c r="E6" s="15">
        <f>COUNTIFS(Plan!$A$5:$A$283,$A6,Plan!$F$5:$F$283,"In progress")</f>
        <v/>
      </c>
      <c r="F6" s="15">
        <f>COUNTIFS(Plan!$A$5:$A$283,$A6,Plan!$F$5:$F$283,"Blocked")</f>
        <v/>
      </c>
      <c r="G6" s="15">
        <f>C6-D6-E6-F6</f>
        <v/>
      </c>
      <c r="H6" s="16">
        <f>IF(C6=0,0,D6/C6)</f>
        <v/>
      </c>
      <c r="I6" s="17">
        <f>IF(_xlfn.MINIFS(Plan!$G$5:$G$283,Plan!$A$5:$A$283,A6)=0,"",_xlfn.MINIFS(Plan!$G$5:$G$283,Plan!$A$5:$A$283,A6))</f>
        <v/>
      </c>
      <c r="J6" s="17">
        <f>IF(_xlfn.MAXIFS(Plan!$H$5:$H$283,Plan!$A$5:$A$283,A6)=0,"",_xlfn.MAXIFS(Plan!$H$5:$H$283,Plan!$A$5:$A$283,A6))</f>
        <v/>
      </c>
    </row>
    <row r="7">
      <c r="A7" s="15" t="n">
        <v>3</v>
      </c>
      <c r="B7" s="15" t="inlineStr">
        <is>
          <t>Checkout &amp; Payments</t>
        </is>
      </c>
      <c r="C7" s="15">
        <f>COUNTIF(Plan!$A$5:$A$283,A7)-COUNTIFS(Plan!$A$5:$A$283,A7,Plan!$F$5:$F$283,"Not needed")</f>
        <v/>
      </c>
      <c r="D7" s="15">
        <f>COUNTIFS(Plan!$A$5:$A$283,$A7,Plan!$F$5:$F$283,"Done")</f>
        <v/>
      </c>
      <c r="E7" s="15">
        <f>COUNTIFS(Plan!$A$5:$A$283,$A7,Plan!$F$5:$F$283,"In progress")</f>
        <v/>
      </c>
      <c r="F7" s="15">
        <f>COUNTIFS(Plan!$A$5:$A$283,$A7,Plan!$F$5:$F$283,"Blocked")</f>
        <v/>
      </c>
      <c r="G7" s="15">
        <f>C7-D7-E7-F7</f>
        <v/>
      </c>
      <c r="H7" s="16">
        <f>IF(C7=0,0,D7/C7)</f>
        <v/>
      </c>
      <c r="I7" s="17">
        <f>IF(_xlfn.MINIFS(Plan!$G$5:$G$283,Plan!$A$5:$A$283,A7)=0,"",_xlfn.MINIFS(Plan!$G$5:$G$283,Plan!$A$5:$A$283,A7))</f>
        <v/>
      </c>
      <c r="J7" s="17">
        <f>IF(_xlfn.MAXIFS(Plan!$H$5:$H$283,Plan!$A$5:$A$283,A7)=0,"",_xlfn.MAXIFS(Plan!$H$5:$H$283,Plan!$A$5:$A$283,A7))</f>
        <v/>
      </c>
    </row>
    <row r="8">
      <c r="A8" s="15" t="n">
        <v>4</v>
      </c>
      <c r="B8" s="15" t="inlineStr">
        <is>
          <t>Orders &amp; Delivery</t>
        </is>
      </c>
      <c r="C8" s="15">
        <f>COUNTIF(Plan!$A$5:$A$283,A8)-COUNTIFS(Plan!$A$5:$A$283,A8,Plan!$F$5:$F$283,"Not needed")</f>
        <v/>
      </c>
      <c r="D8" s="15">
        <f>COUNTIFS(Plan!$A$5:$A$283,$A8,Plan!$F$5:$F$283,"Done")</f>
        <v/>
      </c>
      <c r="E8" s="15">
        <f>COUNTIFS(Plan!$A$5:$A$283,$A8,Plan!$F$5:$F$283,"In progress")</f>
        <v/>
      </c>
      <c r="F8" s="15">
        <f>COUNTIFS(Plan!$A$5:$A$283,$A8,Plan!$F$5:$F$283,"Blocked")</f>
        <v/>
      </c>
      <c r="G8" s="15">
        <f>C8-D8-E8-F8</f>
        <v/>
      </c>
      <c r="H8" s="16">
        <f>IF(C8=0,0,D8/C8)</f>
        <v/>
      </c>
      <c r="I8" s="17">
        <f>IF(_xlfn.MINIFS(Plan!$G$5:$G$283,Plan!$A$5:$A$283,A8)=0,"",_xlfn.MINIFS(Plan!$G$5:$G$283,Plan!$A$5:$A$283,A8))</f>
        <v/>
      </c>
      <c r="J8" s="17">
        <f>IF(_xlfn.MAXIFS(Plan!$H$5:$H$283,Plan!$A$5:$A$283,A8)=0,"",_xlfn.MAXIFS(Plan!$H$5:$H$283,Plan!$A$5:$A$283,A8))</f>
        <v/>
      </c>
    </row>
    <row r="9">
      <c r="A9" s="15" t="n">
        <v>5</v>
      </c>
      <c r="B9" s="15" t="inlineStr">
        <is>
          <t>Money: Payouts, Promotions &amp; Admin</t>
        </is>
      </c>
      <c r="C9" s="15">
        <f>COUNTIF(Plan!$A$5:$A$283,A9)-COUNTIFS(Plan!$A$5:$A$283,A9,Plan!$F$5:$F$283,"Not needed")</f>
        <v/>
      </c>
      <c r="D9" s="15">
        <f>COUNTIFS(Plan!$A$5:$A$283,$A9,Plan!$F$5:$F$283,"Done")</f>
        <v/>
      </c>
      <c r="E9" s="15">
        <f>COUNTIFS(Plan!$A$5:$A$283,$A9,Plan!$F$5:$F$283,"In progress")</f>
        <v/>
      </c>
      <c r="F9" s="15">
        <f>COUNTIFS(Plan!$A$5:$A$283,$A9,Plan!$F$5:$F$283,"Blocked")</f>
        <v/>
      </c>
      <c r="G9" s="15">
        <f>C9-D9-E9-F9</f>
        <v/>
      </c>
      <c r="H9" s="16">
        <f>IF(C9=0,0,D9/C9)</f>
        <v/>
      </c>
      <c r="I9" s="17">
        <f>IF(_xlfn.MINIFS(Plan!$G$5:$G$283,Plan!$A$5:$A$283,A9)=0,"",_xlfn.MINIFS(Plan!$G$5:$G$283,Plan!$A$5:$A$283,A9))</f>
        <v/>
      </c>
      <c r="J9" s="17">
        <f>IF(_xlfn.MAXIFS(Plan!$H$5:$H$283,Plan!$A$5:$A$283,A9)=0,"",_xlfn.MAXIFS(Plan!$H$5:$H$283,Plan!$A$5:$A$283,A9))</f>
        <v/>
      </c>
    </row>
    <row r="10">
      <c r="A10" s="15" t="n">
        <v>6</v>
      </c>
      <c r="B10" s="15" t="inlineStr">
        <is>
          <t>Reviews, Notifications &amp; Trust</t>
        </is>
      </c>
      <c r="C10" s="15">
        <f>COUNTIF(Plan!$A$5:$A$283,A10)-COUNTIFS(Plan!$A$5:$A$283,A10,Plan!$F$5:$F$283,"Not needed")</f>
        <v/>
      </c>
      <c r="D10" s="15">
        <f>COUNTIFS(Plan!$A$5:$A$283,$A10,Plan!$F$5:$F$283,"Done")</f>
        <v/>
      </c>
      <c r="E10" s="15">
        <f>COUNTIFS(Plan!$A$5:$A$283,$A10,Plan!$F$5:$F$283,"In progress")</f>
        <v/>
      </c>
      <c r="F10" s="15">
        <f>COUNTIFS(Plan!$A$5:$A$283,$A10,Plan!$F$5:$F$283,"Blocked")</f>
        <v/>
      </c>
      <c r="G10" s="15">
        <f>C10-D10-E10-F10</f>
        <v/>
      </c>
      <c r="H10" s="16">
        <f>IF(C10=0,0,D10/C10)</f>
        <v/>
      </c>
      <c r="I10" s="17">
        <f>IF(_xlfn.MINIFS(Plan!$G$5:$G$283,Plan!$A$5:$A$283,A10)=0,"",_xlfn.MINIFS(Plan!$G$5:$G$283,Plan!$A$5:$A$283,A10))</f>
        <v/>
      </c>
      <c r="J10" s="17">
        <f>IF(_xlfn.MAXIFS(Plan!$H$5:$H$283,Plan!$A$5:$A$283,A10)=0,"",_xlfn.MAXIFS(Plan!$H$5:$H$283,Plan!$A$5:$A$283,A10))</f>
        <v/>
      </c>
    </row>
    <row r="11">
      <c r="A11" s="15" t="n">
        <v>7</v>
      </c>
      <c r="B11" s="15" t="inlineStr">
        <is>
          <t>Launch</t>
        </is>
      </c>
      <c r="C11" s="15">
        <f>COUNTIF(Plan!$A$5:$A$283,A11)-COUNTIFS(Plan!$A$5:$A$283,A11,Plan!$F$5:$F$283,"Not needed")</f>
        <v/>
      </c>
      <c r="D11" s="15">
        <f>COUNTIFS(Plan!$A$5:$A$283,$A11,Plan!$F$5:$F$283,"Done")</f>
        <v/>
      </c>
      <c r="E11" s="15">
        <f>COUNTIFS(Plan!$A$5:$A$283,$A11,Plan!$F$5:$F$283,"In progress")</f>
        <v/>
      </c>
      <c r="F11" s="15">
        <f>COUNTIFS(Plan!$A$5:$A$283,$A11,Plan!$F$5:$F$283,"Blocked")</f>
        <v/>
      </c>
      <c r="G11" s="15">
        <f>C11-D11-E11-F11</f>
        <v/>
      </c>
      <c r="H11" s="16">
        <f>IF(C11=0,0,D11/C11)</f>
        <v/>
      </c>
      <c r="I11" s="17">
        <f>IF(_xlfn.MINIFS(Plan!$G$5:$G$283,Plan!$A$5:$A$283,A11)=0,"",_xlfn.MINIFS(Plan!$G$5:$G$283,Plan!$A$5:$A$283,A11))</f>
        <v/>
      </c>
      <c r="J11" s="17">
        <f>IF(_xlfn.MAXIFS(Plan!$H$5:$H$283,Plan!$A$5:$A$283,A11)=0,"",_xlfn.MAXIFS(Plan!$H$5:$H$283,Plan!$A$5:$A$283,A11))</f>
        <v/>
      </c>
    </row>
    <row r="12">
      <c r="A12" s="15" t="n">
        <v>8</v>
      </c>
      <c r="B12" s="15" t="inlineStr">
        <is>
          <t>Extra work (added on owner's request)</t>
        </is>
      </c>
      <c r="C12" s="15">
        <f>COUNTIF(Plan!$A$5:$A$283,A12)-COUNTIFS(Plan!$A$5:$A$283,A12,Plan!$F$5:$F$283,"Not needed")</f>
        <v/>
      </c>
      <c r="D12" s="15">
        <f>COUNTIFS(Plan!$A$5:$A$283,$A12,Plan!$F$5:$F$283,"Done")</f>
        <v/>
      </c>
      <c r="E12" s="15">
        <f>COUNTIFS(Plan!$A$5:$A$283,$A12,Plan!$F$5:$F$283,"In progress")</f>
        <v/>
      </c>
      <c r="F12" s="15">
        <f>COUNTIFS(Plan!$A$5:$A$283,$A12,Plan!$F$5:$F$283,"Blocked")</f>
        <v/>
      </c>
      <c r="G12" s="15">
        <f>C12-D12-E12-F12</f>
        <v/>
      </c>
      <c r="H12" s="16">
        <f>IF(C12=0,0,D12/C12)</f>
        <v/>
      </c>
      <c r="I12" s="17">
        <f>IF(_xlfn.MINIFS(Plan!$G$5:$G$283,Plan!$A$5:$A$283,A12)=0,"",_xlfn.MINIFS(Plan!$G$5:$G$283,Plan!$A$5:$A$283,A12))</f>
        <v/>
      </c>
      <c r="J12" s="17">
        <f>IF(_xlfn.MAXIFS(Plan!$H$5:$H$283,Plan!$A$5:$A$283,A12)=0,"",_xlfn.MAXIFS(Plan!$H$5:$H$283,Plan!$A$5:$A$283,A12))</f>
        <v/>
      </c>
    </row>
    <row r="13">
      <c r="A13" s="18" t="n"/>
      <c r="B13" s="18" t="inlineStr">
        <is>
          <t>All phases</t>
        </is>
      </c>
      <c r="C13" s="18">
        <f>SUM(C4:C12)</f>
        <v/>
      </c>
      <c r="D13" s="18">
        <f>SUM(D4:D12)</f>
        <v/>
      </c>
      <c r="E13" s="18">
        <f>SUM(E4:E12)</f>
        <v/>
      </c>
      <c r="F13" s="18">
        <f>SUM(F4:F12)</f>
        <v/>
      </c>
      <c r="G13" s="18">
        <f>SUM(G4:G12)</f>
        <v/>
      </c>
      <c r="H13" s="19">
        <f>IF(C13=0,0,D13/C13)</f>
        <v/>
      </c>
      <c r="I13" s="18" t="n"/>
      <c r="J13" s="18" t="n"/>
    </row>
    <row r="15">
      <c r="A15" s="2" t="inlineStr">
        <is>
          <t>Counts and dates come from the Plan tab. Status values: Not started, In progress, Blocked, Done, Not needed (left out of the counts).</t>
        </is>
      </c>
    </row>
  </sheetData>
  <conditionalFormatting sqref="H4:H13">
    <cfRule type="dataBar" priority="1">
      <dataBar>
        <cfvo type="num" val="0"/>
        <cfvo type="num" val="1"/>
        <color rgb="004FBF93"/>
      </dataBar>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2026-10-23T07:43:00Z</dcterms:created>
  <dcterms:modified xmlns:dcterms="http://purl.org/dc/terms/" xmlns:xsi="http://www.w3.org/2001/XMLSchema-instance" xsi:type="dcterms:W3CDTF">2026-10-23T07:43:00Z</dcterms:modified>
</cp:coreProperties>
</file>