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" sheetId="1" state="visible" r:id="rId3"/>
    <sheet name="Summary" sheetId="2" state="visible" r:id="rId4"/>
  </sheets>
  <definedNames>
    <definedName function="false" hidden="true" localSheetId="0" name="_xlnm._FilterDatabase" vbProcedure="false">Plan!$A$4:$J$62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4" authorId="0">
      <text>
        <r>
          <rPr>
            <sz val="10"/>
            <rFont val="Arial"/>
            <family val="2"/>
          </rPr>
          <t xml:space="preserve">End date − Start date + 1 (calendar days, inclusive). Blank until both dates are filled.</t>
        </r>
      </text>
    </comment>
  </commentList>
</comments>
</file>

<file path=xl/sharedStrings.xml><?xml version="1.0" encoding="utf-8"?>
<sst xmlns="http://schemas.openxmlformats.org/spreadsheetml/2006/main" count="362" uniqueCount="244">
  <si>
    <t xml:space="preserve">RGBKart Marketplace – Project Plan</t>
  </si>
  <si>
    <t xml:space="preserve">How to use: update Status, Start date, End date and Remarks (cream-coloured cells). Days and the Summary tab update themselves. Phase 0 rows show the expected format.</t>
  </si>
  <si>
    <t xml:space="preserve">Phase</t>
  </si>
  <si>
    <t xml:space="preserve">Phase name</t>
  </si>
  <si>
    <t xml:space="preserve">ID</t>
  </si>
  <si>
    <t xml:space="preserve">Sub-phase</t>
  </si>
  <si>
    <t xml:space="preserve">What gets built</t>
  </si>
  <si>
    <t xml:space="preserve">Status</t>
  </si>
  <si>
    <t xml:space="preserve">Start date</t>
  </si>
  <si>
    <t xml:space="preserve">End date</t>
  </si>
  <si>
    <t xml:space="preserve">Days</t>
  </si>
  <si>
    <t xml:space="preserve">Remarks</t>
  </si>
  <si>
    <t xml:space="preserve">Foundation (accounts &amp; admin)</t>
  </si>
  <si>
    <t xml:space="preserve">0.1</t>
  </si>
  <si>
    <t xml:space="preserve">Supabase project &amp; keys</t>
  </si>
  <si>
    <t xml:space="preserve">Project created; project URL and publishable key connected to the app</t>
  </si>
  <si>
    <t xml:space="preserve">Done</t>
  </si>
  <si>
    <t xml:space="preserve">Done 22 Oct 2026</t>
  </si>
  <si>
    <t xml:space="preserve">0.2</t>
  </si>
  <si>
    <t xml:space="preserve">Email sign-up &amp; sign-in</t>
  </si>
  <si>
    <t xml:space="preserve">Create account, sign in, sign out with email + password</t>
  </si>
  <si>
    <t xml:space="preserve">0.3</t>
  </si>
  <si>
    <t xml:space="preserve">Forgot password</t>
  </si>
  <si>
    <t xml:space="preserve">Reset link by email and 'Set a new password' screen</t>
  </si>
  <si>
    <t xml:space="preserve">Works only when the site runs from a web address (localhost or domain)</t>
  </si>
  <si>
    <t xml:space="preserve">0.4</t>
  </si>
  <si>
    <t xml:space="preserve">Google &amp; Facebook sign-in</t>
  </si>
  <si>
    <t xml:space="preserve">Buttons built; provider apps must be configured</t>
  </si>
  <si>
    <t xml:space="preserve">In progress</t>
  </si>
  <si>
    <t xml:space="preserve">Code done. To do: Google Cloud OAuth client, Meta app, enable both in Supabase, set Site URL + Redirect URLs</t>
  </si>
  <si>
    <t xml:space="preserve">0.5</t>
  </si>
  <si>
    <t xml:space="preserve">Customer &amp; Seller sign-up</t>
  </si>
  <si>
    <t xml:space="preserve">Separate forms; sellers start as 'Pending approval'</t>
  </si>
  <si>
    <t xml:space="preserve">profiles.sql</t>
  </si>
  <si>
    <t xml:space="preserve">0.6</t>
  </si>
  <si>
    <t xml:space="preserve">Admin panel &amp; staff roles</t>
  </si>
  <si>
    <t xml:space="preserve">admin.html: Master Admin, Co-admin, Editor; invite by email; approve sellers</t>
  </si>
  <si>
    <t xml:space="preserve">admin.sql; permissions tested on a test database</t>
  </si>
  <si>
    <t xml:space="preserve">0.7</t>
  </si>
  <si>
    <t xml:space="preserve">Install &amp; live test</t>
  </si>
  <si>
    <t xml:space="preserve">Run setup.sql, profiles.sql, admin.sql; make yourself Master Admin; test every sign-in flow</t>
  </si>
  <si>
    <t xml:space="preserve">All 3 SQL files run OK; hkmanik@gmail.com is Master Admin (22 Oct). To do: URL Configuration, open admin.html, test sign-in flows</t>
  </si>
  <si>
    <t xml:space="preserve">Catalog &amp; Seller Products</t>
  </si>
  <si>
    <t xml:space="preserve">1.1</t>
  </si>
  <si>
    <t xml:space="preserve">Admin sidebar layout</t>
  </si>
  <si>
    <t xml:space="preserve">Left sidebar menu grouped by Catalog, People, Storefront, Money, Settings; folds to a menu button on phones</t>
  </si>
  <si>
    <t xml:space="preserve">Built 22 Oct in admin.html. Test after running catalog.sql</t>
  </si>
  <si>
    <t xml:space="preserve">1.2</t>
  </si>
  <si>
    <t xml:space="preserve">Categories &amp; sub-categories</t>
  </si>
  <si>
    <t xml:space="preserve">One tree (e.g. Electronics › Mobile › Smartphones) with icon, sort order, on/off</t>
  </si>
  <si>
    <t xml:space="preserve">Built 22 Oct. catalog_seed.sql adds 20 categories + 100 sub-categories (editable)</t>
  </si>
  <si>
    <t xml:space="preserve">1.3</t>
  </si>
  <si>
    <t xml:space="preserve">Attributes</t>
  </si>
  <si>
    <t xml:space="preserve">Create attributes (Colour, Size, RAM…) and attach them to categories</t>
  </si>
  <si>
    <t xml:space="preserve">Built 22 Oct. catalog_seed.sql adds 136 dropdown attributes, 1,315 choices, linked to categories</t>
  </si>
  <si>
    <t xml:space="preserve">1.4</t>
  </si>
  <si>
    <t xml:space="preserve">Product database &amp; image storage</t>
  </si>
  <si>
    <t xml:space="preserve">Products table, Supabase Storage bucket for photos, security rules</t>
  </si>
  <si>
    <t xml:space="preserve">Built 22 Oct (products.sql): product tables, review flow, photo bucket. Tested; installed in Supabase 22 Oct</t>
  </si>
  <si>
    <t xml:space="preserve">1.5</t>
  </si>
  <si>
    <t xml:space="preserve">Seller: add &amp; edit products</t>
  </si>
  <si>
    <t xml:space="preserve">Approved sellers add title, price (৳), photos, description, category, attribute values</t>
  </si>
  <si>
    <t xml:space="preserve">Built 22 Oct: seller.html + products_v2.sql + product_options.sql. New / Pre-owned, Free listing / Featured, Main + 7 gallery photos, pricing, stock, shipping, linked products; Downloadable, Service, Gift card, Pre-order, Wholesale price, COD on/off</t>
  </si>
  <si>
    <t xml:space="preserve">1.6</t>
  </si>
  <si>
    <t xml:space="preserve">Variants &amp; stock</t>
  </si>
  <si>
    <t xml:space="preserve">Size/colour options with their own price and stock count</t>
  </si>
  <si>
    <t xml:space="preserve">Built with 1.5: variations (e.g. Colour × Storage) with own price, sale, stock, SKU, photo</t>
  </si>
  <si>
    <t xml:space="preserve">1.7</t>
  </si>
  <si>
    <t xml:space="preserve">Product approval</t>
  </si>
  <si>
    <t xml:space="preserve">Editor / Co-admin review new products before they go live</t>
  </si>
  <si>
    <t xml:space="preserve">Built 22 Oct: admin Products page (approve / reject with reason / take down). Also: one-time sellers via sell.html (no account), simpler Add product form. 22 Oct: one-time sellers choose Free (buyers message only, phone hidden) or Featured (call, WhatsApp, email, message)</t>
  </si>
  <si>
    <t xml:space="preserve">1.8</t>
  </si>
  <si>
    <t xml:space="preserve">Seller shop page</t>
  </si>
  <si>
    <t xml:space="preserve">Public page per shop: logo, banner, products</t>
  </si>
  <si>
    <t xml:space="preserve">Shop settings built 22 Oct (shop_settings.sql): logo, banner, web address, contact, social links, vacation mode, payout details. Public shop page still to build</t>
  </si>
  <si>
    <t xml:space="preserve">Customer Shopping</t>
  </si>
  <si>
    <t xml:space="preserve">2.1</t>
  </si>
  <si>
    <t xml:space="preserve">Home page</t>
  </si>
  <si>
    <t xml:space="preserve">Banners, featured categories, new and popular products</t>
  </si>
  <si>
    <t xml:space="preserve">Updated 22 Oct: 6×2 category cards, All categories page (categories.html), admin-managed product sections (Featured, Deals of the Day, New arrivals…), New/Pre-owned/Sale labels, heart, cart icon with count. Banners editable later (5.9)</t>
  </si>
  <si>
    <t xml:space="preserve">2.2</t>
  </si>
  <si>
    <t xml:space="preserve">Product listing &amp; filters</t>
  </si>
  <si>
    <t xml:space="preserve">Browse by category; filter by price, brand, rating; sort</t>
  </si>
  <si>
    <t xml:space="preserve">Built 22 Oct (browse.html): left sidebar with expandable categories, filters (condition, price, district, featured, free delivery), sort, show more</t>
  </si>
  <si>
    <t xml:space="preserve">2.3</t>
  </si>
  <si>
    <t xml:space="preserve">Search</t>
  </si>
  <si>
    <t xml:space="preserve">Search by product name, shop, category</t>
  </si>
  <si>
    <t xml:space="preserve">Built 22 Oct: search by name, description and tags; matching categories suggested. Cart page (cart.html) added</t>
  </si>
  <si>
    <t xml:space="preserve">2.4</t>
  </si>
  <si>
    <t xml:space="preserve">Product detail page</t>
  </si>
  <si>
    <t xml:space="preserve">Photos, variants, stock, seller info, delivery estimate</t>
  </si>
  <si>
    <t xml:space="preserve">Built 22 Oct (product.html): gallery, variations, price/sale, stock, Contact seller (Call/WhatsApp), Add to cart, Buy now. Cart saved on device until checkout (3.2)</t>
  </si>
  <si>
    <t xml:space="preserve">2.5</t>
  </si>
  <si>
    <t xml:space="preserve">Wishlist</t>
  </si>
  <si>
    <t xml:space="preserve">Customers save products for later</t>
  </si>
  <si>
    <t xml:space="preserve">Heart on every product card; saved on the device for now. Moves to the account when customer accounts are finished</t>
  </si>
  <si>
    <t xml:space="preserve">2.6</t>
  </si>
  <si>
    <t xml:space="preserve">Cart</t>
  </si>
  <si>
    <t xml:space="preserve">Add, update, remove items; cart saved to account</t>
  </si>
  <si>
    <t xml:space="preserve">23 Oct: cart grouped by shop with live prices/stock and delivery choice; saved on the device (moves to the account later)</t>
  </si>
  <si>
    <t xml:space="preserve">2.7</t>
  </si>
  <si>
    <t xml:space="preserve">Buyer–seller messages</t>
  </si>
  <si>
    <t xml:space="preserve">Buyers message sellers about a product; both reply on the Messages page</t>
  </si>
  <si>
    <t xml:space="preserve">Built 22 Oct (messages.html, contact_messages.sql). Only buyer and seller can read a chat. Email/SMS alerts for new messages still to do</t>
  </si>
  <si>
    <t xml:space="preserve">Checkout &amp; Payments</t>
  </si>
  <si>
    <t xml:space="preserve">3.1</t>
  </si>
  <si>
    <t xml:space="preserve">Address book</t>
  </si>
  <si>
    <t xml:space="preserve">Customers save delivery addresses (division, district, area)</t>
  </si>
  <si>
    <t xml:space="preserve">Checkout remembers the last address on the device and fills it from the customer profile; full address book later</t>
  </si>
  <si>
    <t xml:space="preserve">3.2</t>
  </si>
  <si>
    <t xml:space="preserve">Checkout flow</t>
  </si>
  <si>
    <t xml:space="preserve">Address → delivery option → payment → review → place order</t>
  </si>
  <si>
    <t xml:space="preserve">23 Oct: checkout.html, delivery details → Cash on Delivery → one order per shop (0020_orders.sql, place_order checks prices and stock)</t>
  </si>
  <si>
    <t xml:space="preserve">3.3</t>
  </si>
  <si>
    <t xml:space="preserve">Cash on delivery</t>
  </si>
  <si>
    <t xml:space="preserve">COD option with order limits</t>
  </si>
  <si>
    <t xml:space="preserve">Cash on Delivery is the only payment; RGBKart never holds money. Order limits per day in place</t>
  </si>
  <si>
    <t xml:space="preserve">3.4</t>
  </si>
  <si>
    <t xml:space="preserve">bKash &amp; Nagad</t>
  </si>
  <si>
    <t xml:space="preserve">Mobile wallet payments</t>
  </si>
  <si>
    <t xml:space="preserve">Not started</t>
  </si>
  <si>
    <t xml:space="preserve">Needs merchant accounts</t>
  </si>
  <si>
    <t xml:space="preserve">3.5</t>
  </si>
  <si>
    <t xml:space="preserve">Card payments</t>
  </si>
  <si>
    <t xml:space="preserve">Payment gateway (e.g. SSLCommerz) for cards</t>
  </si>
  <si>
    <t xml:space="preserve">Needs merchant account</t>
  </si>
  <si>
    <t xml:space="preserve">3.6</t>
  </si>
  <si>
    <t xml:space="preserve">Coupons &amp; vouchers</t>
  </si>
  <si>
    <t xml:space="preserve">Admin-created discount codes</t>
  </si>
  <si>
    <t xml:space="preserve">3.7</t>
  </si>
  <si>
    <t xml:space="preserve">Order confirmation</t>
  </si>
  <si>
    <t xml:space="preserve">Email/SMS receipt after order</t>
  </si>
  <si>
    <t xml:space="preserve">Orders &amp; Delivery</t>
  </si>
  <si>
    <t xml:space="preserve">4.1</t>
  </si>
  <si>
    <t xml:space="preserve">Split orders by seller</t>
  </si>
  <si>
    <t xml:space="preserve">One cart with several shops becomes one order per seller</t>
  </si>
  <si>
    <t xml:space="preserve">One cart with several shops becomes one order per shop (order numbers RGB-YYMMDD-XXXXX)</t>
  </si>
  <si>
    <t xml:space="preserve">4.2</t>
  </si>
  <si>
    <t xml:space="preserve">Seller order management</t>
  </si>
  <si>
    <t xml:space="preserve">Sellers accept, pack, mark shipped</t>
  </si>
  <si>
    <t xml:space="preserve">Seller Center → Orders: confirm, pack, ship (tracking note), deliver, cancel with reason; print invoice and packing slip</t>
  </si>
  <si>
    <t xml:space="preserve">4.3</t>
  </si>
  <si>
    <t xml:space="preserve">Courier integration</t>
  </si>
  <si>
    <t xml:space="preserve">Book deliveries with couriers (e.g. Pathao, Steadfast, RedX)</t>
  </si>
  <si>
    <t xml:space="preserve">Needs courier API accounts</t>
  </si>
  <si>
    <t xml:space="preserve">4.4</t>
  </si>
  <si>
    <t xml:space="preserve">Order tracking</t>
  </si>
  <si>
    <t xml:space="preserve">Customers see order status and tracking</t>
  </si>
  <si>
    <t xml:space="preserve">orders.html: customers see progress steps and the shop's delivery info; call/WhatsApp the shop</t>
  </si>
  <si>
    <t xml:space="preserve">4.5</t>
  </si>
  <si>
    <t xml:space="preserve">Cancellations</t>
  </si>
  <si>
    <t xml:space="preserve">Rules for customer and seller cancellations</t>
  </si>
  <si>
    <t xml:space="preserve">Customer cancels while new/confirmed; shop or admin cancels with a reason; stock goes back</t>
  </si>
  <si>
    <t xml:space="preserve">4.6</t>
  </si>
  <si>
    <t xml:space="preserve">Returns &amp; refunds</t>
  </si>
  <si>
    <t xml:space="preserve">Return requests, approval, refund to wallet/payment method</t>
  </si>
  <si>
    <t xml:space="preserve">Money: Payouts, Promotions &amp; Admin</t>
  </si>
  <si>
    <t xml:space="preserve">5.1</t>
  </si>
  <si>
    <t xml:space="preserve">Commission rules</t>
  </si>
  <si>
    <t xml:space="preserve">Platform commission per category or seller</t>
  </si>
  <si>
    <t xml:space="preserve">5.2</t>
  </si>
  <si>
    <t xml:space="preserve">Seller balance</t>
  </si>
  <si>
    <t xml:space="preserve">Earnings after commission, held until delivery confirmed</t>
  </si>
  <si>
    <t xml:space="preserve">5.3</t>
  </si>
  <si>
    <t xml:space="preserve">Payouts</t>
  </si>
  <si>
    <t xml:space="preserve">Sellers request payout; admin marks paid (bank/bKash)</t>
  </si>
  <si>
    <t xml:space="preserve">5.4</t>
  </si>
  <si>
    <t xml:space="preserve">Featured listing packages</t>
  </si>
  <si>
    <t xml:space="preserve">Admin sets packages: placement (home, category top), rate (৳) and duration (days)</t>
  </si>
  <si>
    <t xml:space="preserve">Rate list (7/15/30 days, admin-editable); sellers pick a duration; admin can give Featured free (Products → Make Featured free). 0018_admin_tools.sql</t>
  </si>
  <si>
    <t xml:space="preserve">5.5</t>
  </si>
  <si>
    <t xml:space="preserve">Advertisement types &amp; rates</t>
  </si>
  <si>
    <t xml:space="preserve">Admin defines ad types (home banner, category banner, sidebar, popup), size, rate and duration</t>
  </si>
  <si>
    <t xml:space="preserve">23 Oct: Admin → Featured &amp; ads: price per day for Home banner strip, Home mid-page banner, Category sidebar; admin creates ads (own or for a seller), shown on the site</t>
  </si>
  <si>
    <t xml:space="preserve">5.6</t>
  </si>
  <si>
    <t xml:space="preserve">Seller buys featured / ads</t>
  </si>
  <si>
    <t xml:space="preserve">Seller picks a package, uploads banner (ads), pays, sees status and expiry</t>
  </si>
  <si>
    <t xml:space="preserve">23 Oct: sellers pay Featured fees (Sell page, Seller Center) and book + pay for ads (Seller Center → Advertise). Ad pictures optional</t>
  </si>
  <si>
    <t xml:space="preserve">5.7</t>
  </si>
  <si>
    <t xml:space="preserve">Payment verification</t>
  </si>
  <si>
    <t xml:space="preserve">Admin queue for manual payments (bKash, Nagad, bank): check TrxID &amp; amount, approve or reject with reason</t>
  </si>
  <si>
    <t xml:space="preserve">23 Oct: Admin → Payments: bKash/Nagad/Upay/Rocket numbers; queue with Verify &amp; start / Reject with reason; each TrxID usable only once (0019_payments.sql). Order payments come with checkout</t>
  </si>
  <si>
    <t xml:space="preserve">5.8</t>
  </si>
  <si>
    <t xml:space="preserve">Auto start, expiry &amp; renewal</t>
  </si>
  <si>
    <t xml:space="preserve">Featured items and ads switch on at approval, switch off at end date; reminder before expiry</t>
  </si>
  <si>
    <t xml:space="preserve">Featured and ads end by themselves on their end date. Reminders before expiry still to do</t>
  </si>
  <si>
    <t xml:space="preserve">5.9</t>
  </si>
  <si>
    <t xml:space="preserve">Home page editor</t>
  </si>
  <si>
    <t xml:space="preserve">Banners, featured categories, product sections; order and on/off</t>
  </si>
  <si>
    <t xml:space="preserve">22 Oct: Admin → Home page adds, edits, hides, reorders and deletes product sections (home_sections.sql). Banners still to do. Editors allowed</t>
  </si>
  <si>
    <t xml:space="preserve">5.10</t>
  </si>
  <si>
    <t xml:space="preserve">Reports</t>
  </si>
  <si>
    <t xml:space="preserve">Sales, orders, featured &amp; ad income, top sellers; export</t>
  </si>
  <si>
    <t xml:space="preserve">23 Oct: Admin → Reports: daily/weekly/monthly/yearly/custom; visitors, sign-ups, listings, Featured &amp; ad income; charts; CSV download. Sales/orders come with checkout</t>
  </si>
  <si>
    <t xml:space="preserve">5.11</t>
  </si>
  <si>
    <t xml:space="preserve">Activity log</t>
  </si>
  <si>
    <t xml:space="preserve">Record of admin actions (who approved what, when)</t>
  </si>
  <si>
    <t xml:space="preserve">Reviews, Notifications &amp; Trust</t>
  </si>
  <si>
    <t xml:space="preserve">6.1</t>
  </si>
  <si>
    <t xml:space="preserve">Reviews &amp; ratings</t>
  </si>
  <si>
    <t xml:space="preserve">Verified buyers rate products and sellers</t>
  </si>
  <si>
    <t xml:space="preserve">6.2</t>
  </si>
  <si>
    <t xml:space="preserve">Notifications</t>
  </si>
  <si>
    <t xml:space="preserve">Email, SMS and in-app alerts for orders and approvals</t>
  </si>
  <si>
    <t xml:space="preserve">6.3</t>
  </si>
  <si>
    <t xml:space="preserve">Product Q&amp;A</t>
  </si>
  <si>
    <t xml:space="preserve">Customers ask questions; sellers answer</t>
  </si>
  <si>
    <t xml:space="preserve">6.4</t>
  </si>
  <si>
    <t xml:space="preserve">Seller verification</t>
  </si>
  <si>
    <t xml:space="preserve">Upload NID / trade license documents for approval</t>
  </si>
  <si>
    <t xml:space="preserve">6.5</t>
  </si>
  <si>
    <t xml:space="preserve">Fraud &amp; reports</t>
  </si>
  <si>
    <t xml:space="preserve">Report products/sellers; flag risky COD orders</t>
  </si>
  <si>
    <t xml:space="preserve">Launch</t>
  </si>
  <si>
    <t xml:space="preserve">7.1</t>
  </si>
  <si>
    <t xml:space="preserve">Hosting &amp; domain</t>
  </si>
  <si>
    <t xml:space="preserve">Put site online (e.g. Vercel/Netlify) on your domain</t>
  </si>
  <si>
    <t xml:space="preserve">7.2</t>
  </si>
  <si>
    <t xml:space="preserve">Email sender</t>
  </si>
  <si>
    <t xml:space="preserve">Custom SMTP and branded auth email templates</t>
  </si>
  <si>
    <t xml:space="preserve">Supabase free email is limited to a few per hour</t>
  </si>
  <si>
    <t xml:space="preserve">7.3</t>
  </si>
  <si>
    <t xml:space="preserve">Policies</t>
  </si>
  <si>
    <t xml:space="preserve">Privacy policy, terms, return &amp; refund policy</t>
  </si>
  <si>
    <t xml:space="preserve">7.4</t>
  </si>
  <si>
    <t xml:space="preserve">Security review</t>
  </si>
  <si>
    <t xml:space="preserve">Re-check all database security rules and admin access</t>
  </si>
  <si>
    <t xml:space="preserve">7.5</t>
  </si>
  <si>
    <t xml:space="preserve">Testing</t>
  </si>
  <si>
    <t xml:space="preserve">Full test with real customers, sellers and staff</t>
  </si>
  <si>
    <t xml:space="preserve">7.6</t>
  </si>
  <si>
    <t xml:space="preserve">SEO &amp; speed</t>
  </si>
  <si>
    <t xml:space="preserve">Page titles, sharing previews, image sizes, sitemap</t>
  </si>
  <si>
    <t xml:space="preserve">7.7</t>
  </si>
  <si>
    <t xml:space="preserve">Go live &amp; backups</t>
  </si>
  <si>
    <t xml:space="preserve">Launch, monitoring, database backups</t>
  </si>
  <si>
    <t xml:space="preserve">Progress by phase</t>
  </si>
  <si>
    <t xml:space="preserve">Sub-phases</t>
  </si>
  <si>
    <t xml:space="preserve">Blocked</t>
  </si>
  <si>
    <t xml:space="preserve">% complete</t>
  </si>
  <si>
    <t xml:space="preserve">First start</t>
  </si>
  <si>
    <t xml:space="preserve">Last end</t>
  </si>
  <si>
    <t xml:space="preserve">All phases</t>
  </si>
  <si>
    <t xml:space="preserve">Counts and dates come from the Plan tab. Status values: Not started, In progress, Blocked, Done.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</si>
</sst>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-mmm\-yyyy"/>
    <numFmt numFmtId="166" formatCode="0"/>
    <numFmt numFmtId="167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F6B7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4527A"/>
        <bgColor rgb="FF1F6B4F"/>
      </patternFill>
    </fill>
    <fill>
      <patternFill patternType="solid">
        <fgColor rgb="FFFFF8DC"/>
        <bgColor rgb="FFFBEFD5"/>
      </patternFill>
    </fill>
    <fill>
      <patternFill patternType="solid">
        <fgColor rgb="FFF3F6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5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24527A"/>
          <bgColor rgb="FF000000"/>
        </patternFill>
      </fill>
    </dxf>
    <dxf>
      <fill>
        <patternFill patternType="solid">
          <fgColor rgb="FFF3F6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FF0E7"/>
          <bgColor rgb="FF000000"/>
        </patternFill>
      </fill>
    </dxf>
    <dxf>
      <fill>
        <patternFill patternType="solid">
          <fgColor rgb="FFFBEFD5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1F6B4F"/>
          <bgColor rgb="FF000000"/>
        </patternFill>
      </fill>
    </dxf>
    <dxf>
      <fill>
        <patternFill patternType="solid">
          <fgColor rgb="FF8A5A00"/>
          <bgColor rgb="FF000000"/>
        </patternFill>
      </fill>
    </dxf>
    <dxf>
      <font>
        <name val="Arial"/>
        <charset val="1"/>
        <family val="0"/>
        <b val="1"/>
        <color rgb="FF1F6B4F"/>
      </font>
      <fill>
        <patternFill>
          <bgColor rgb="FFDFF0E7"/>
        </patternFill>
      </fill>
    </dxf>
    <dxf>
      <font>
        <name val="Arial"/>
        <charset val="1"/>
        <family val="0"/>
        <b val="1"/>
        <color rgb="FF8A5A00"/>
      </font>
      <fill>
        <patternFill>
          <bgColor rgb="FFFBEFD5"/>
        </patternFill>
      </fill>
    </dxf>
    <dxf>
      <font>
        <name val="Arial"/>
        <charset val="1"/>
        <family val="0"/>
        <b val="1"/>
        <color rgb="FFA3322A"/>
      </font>
      <fill>
        <patternFill>
          <bgColor rgb="FFF8E3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1F6B4F"/>
      <rgbColor rgb="FFC0C0C0"/>
      <rgbColor rgb="FF808080"/>
      <rgbColor rgb="FF9999FF"/>
      <rgbColor rgb="FF993366"/>
      <rgbColor rgb="FFFFF8DC"/>
      <rgbColor rgb="FFDFF0E7"/>
      <rgbColor rgb="FF660066"/>
      <rgbColor rgb="FFFF8080"/>
      <rgbColor rgb="FF0066CC"/>
      <rgbColor rgb="FFD0D5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6F9"/>
      <rgbColor rgb="FFCCFFCC"/>
      <rgbColor rgb="FFFBEFD5"/>
      <rgbColor rgb="FF99CCFF"/>
      <rgbColor rgb="FFFF99CC"/>
      <rgbColor rgb="FFCC99FF"/>
      <rgbColor rgb="FFF8E3E0"/>
      <rgbColor rgb="FF3366FF"/>
      <rgbColor rgb="FF33CCCC"/>
      <rgbColor rgb="FF99CC00"/>
      <rgbColor rgb="FFFFCC00"/>
      <rgbColor rgb="FFFF9900"/>
      <rgbColor rgb="FFFF6600"/>
      <rgbColor rgb="FF5F6B74"/>
      <rgbColor rgb="FF969696"/>
      <rgbColor rgb="FF003366"/>
      <rgbColor rgb="FF339966"/>
      <rgbColor rgb="FF003300"/>
      <rgbColor rgb="FF333300"/>
      <rgbColor rgb="FFA3322A"/>
      <rgbColor rgb="FF993366"/>
      <rgbColor rgb="FF24527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6"/>
    <col collapsed="false" customWidth="true" hidden="false" outlineLevel="0" max="4" min="4" style="0" width="28"/>
    <col collapsed="false" customWidth="true" hidden="false" outlineLevel="0" max="5" min="5" style="0" width="52"/>
    <col collapsed="false" customWidth="true" hidden="false" outlineLevel="0" max="8" min="6" style="0" width="13"/>
    <col collapsed="false" customWidth="true" hidden="false" outlineLevel="0" max="9" min="9" style="0" width="7"/>
    <col collapsed="false" customWidth="true" hidden="false" outlineLevel="0" max="10" min="10" style="0" width="4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23.85" hidden="false" customHeight="false" outlineLevel="0" collapsed="false">
      <c r="A5" s="4" t="n">
        <v>0</v>
      </c>
      <c r="B5" s="5" t="s">
        <v>12</v>
      </c>
      <c r="C5" s="6" t="s">
        <v>13</v>
      </c>
      <c r="D5" s="5" t="s">
        <v>14</v>
      </c>
      <c r="E5" s="5" t="s">
        <v>15</v>
      </c>
      <c r="F5" s="7" t="s">
        <v>16</v>
      </c>
      <c r="G5" s="8" t="n">
        <v>46317</v>
      </c>
      <c r="H5" s="8" t="n">
        <v>46317</v>
      </c>
      <c r="I5" s="9" t="n">
        <f aca="false">IF(AND(G5&lt;&gt;"",H5&lt;&gt;""),H5-G5+1,"")</f>
        <v>1</v>
      </c>
      <c r="J5" s="10" t="s">
        <v>17</v>
      </c>
    </row>
    <row r="6" customFormat="false" ht="15" hidden="false" customHeight="false" outlineLevel="0" collapsed="false">
      <c r="A6" s="4" t="n">
        <v>0</v>
      </c>
      <c r="B6" s="5" t="s">
        <v>12</v>
      </c>
      <c r="C6" s="6" t="s">
        <v>18</v>
      </c>
      <c r="D6" s="5" t="s">
        <v>19</v>
      </c>
      <c r="E6" s="5" t="s">
        <v>20</v>
      </c>
      <c r="F6" s="7" t="s">
        <v>16</v>
      </c>
      <c r="G6" s="8" t="n">
        <v>46317</v>
      </c>
      <c r="H6" s="8" t="n">
        <v>46317</v>
      </c>
      <c r="I6" s="9" t="n">
        <f aca="false">IF(AND(G6&lt;&gt;"",H6&lt;&gt;""),H6-G6+1,"")</f>
        <v>1</v>
      </c>
      <c r="J6" s="10"/>
    </row>
    <row r="7" customFormat="false" ht="23.85" hidden="false" customHeight="false" outlineLevel="0" collapsed="false">
      <c r="A7" s="4" t="n">
        <v>0</v>
      </c>
      <c r="B7" s="5" t="s">
        <v>12</v>
      </c>
      <c r="C7" s="6" t="s">
        <v>21</v>
      </c>
      <c r="D7" s="5" t="s">
        <v>22</v>
      </c>
      <c r="E7" s="5" t="s">
        <v>23</v>
      </c>
      <c r="F7" s="7" t="s">
        <v>16</v>
      </c>
      <c r="G7" s="8" t="n">
        <v>46317</v>
      </c>
      <c r="H7" s="8" t="n">
        <v>46317</v>
      </c>
      <c r="I7" s="9" t="n">
        <f aca="false">IF(AND(G7&lt;&gt;"",H7&lt;&gt;""),H7-G7+1,"")</f>
        <v>1</v>
      </c>
      <c r="J7" s="10" t="s">
        <v>24</v>
      </c>
    </row>
    <row r="8" customFormat="false" ht="23.85" hidden="false" customHeight="false" outlineLevel="0" collapsed="false">
      <c r="A8" s="4" t="n">
        <v>0</v>
      </c>
      <c r="B8" s="5" t="s">
        <v>12</v>
      </c>
      <c r="C8" s="6" t="s">
        <v>25</v>
      </c>
      <c r="D8" s="5" t="s">
        <v>26</v>
      </c>
      <c r="E8" s="5" t="s">
        <v>27</v>
      </c>
      <c r="F8" s="7" t="s">
        <v>28</v>
      </c>
      <c r="G8" s="8" t="n">
        <v>46317</v>
      </c>
      <c r="H8" s="8"/>
      <c r="I8" s="9" t="str">
        <f aca="false">IF(AND(G8&lt;&gt;"",H8&lt;&gt;""),H8-G8+1,"")</f>
        <v/>
      </c>
      <c r="J8" s="10" t="s">
        <v>29</v>
      </c>
    </row>
    <row r="9" customFormat="false" ht="15" hidden="false" customHeight="false" outlineLevel="0" collapsed="false">
      <c r="A9" s="4" t="n">
        <v>0</v>
      </c>
      <c r="B9" s="5" t="s">
        <v>12</v>
      </c>
      <c r="C9" s="6" t="s">
        <v>30</v>
      </c>
      <c r="D9" s="5" t="s">
        <v>31</v>
      </c>
      <c r="E9" s="5" t="s">
        <v>32</v>
      </c>
      <c r="F9" s="7" t="s">
        <v>16</v>
      </c>
      <c r="G9" s="8" t="n">
        <v>46317</v>
      </c>
      <c r="H9" s="8" t="n">
        <v>46317</v>
      </c>
      <c r="I9" s="9" t="n">
        <f aca="false">IF(AND(G9&lt;&gt;"",H9&lt;&gt;""),H9-G9+1,"")</f>
        <v>1</v>
      </c>
      <c r="J9" s="10" t="s">
        <v>33</v>
      </c>
    </row>
    <row r="10" customFormat="false" ht="23.85" hidden="false" customHeight="false" outlineLevel="0" collapsed="false">
      <c r="A10" s="4" t="n">
        <v>0</v>
      </c>
      <c r="B10" s="5" t="s">
        <v>12</v>
      </c>
      <c r="C10" s="6" t="s">
        <v>34</v>
      </c>
      <c r="D10" s="5" t="s">
        <v>35</v>
      </c>
      <c r="E10" s="5" t="s">
        <v>36</v>
      </c>
      <c r="F10" s="7" t="s">
        <v>16</v>
      </c>
      <c r="G10" s="8" t="n">
        <v>46317</v>
      </c>
      <c r="H10" s="8" t="n">
        <v>46317</v>
      </c>
      <c r="I10" s="9" t="n">
        <f aca="false">IF(AND(G10&lt;&gt;"",H10&lt;&gt;""),H10-G10+1,"")</f>
        <v>1</v>
      </c>
      <c r="J10" s="10" t="s">
        <v>37</v>
      </c>
    </row>
    <row r="11" customFormat="false" ht="35.05" hidden="false" customHeight="false" outlineLevel="0" collapsed="false">
      <c r="A11" s="4" t="n">
        <v>0</v>
      </c>
      <c r="B11" s="5" t="s">
        <v>12</v>
      </c>
      <c r="C11" s="6" t="s">
        <v>38</v>
      </c>
      <c r="D11" s="5" t="s">
        <v>39</v>
      </c>
      <c r="E11" s="5" t="s">
        <v>40</v>
      </c>
      <c r="F11" s="7" t="s">
        <v>16</v>
      </c>
      <c r="G11" s="8" t="n">
        <v>46317</v>
      </c>
      <c r="H11" s="8" t="n">
        <v>46317</v>
      </c>
      <c r="I11" s="9" t="n">
        <f aca="false">IF(AND(G11&lt;&gt;"",H11&lt;&gt;""),H11-G11+1,"")</f>
        <v>1</v>
      </c>
      <c r="J11" s="10" t="s">
        <v>41</v>
      </c>
    </row>
    <row r="12" customFormat="false" ht="23.85" hidden="false" customHeight="false" outlineLevel="0" collapsed="false">
      <c r="A12" s="11" t="n">
        <v>1</v>
      </c>
      <c r="B12" s="12" t="s">
        <v>42</v>
      </c>
      <c r="C12" s="13" t="s">
        <v>43</v>
      </c>
      <c r="D12" s="12" t="s">
        <v>44</v>
      </c>
      <c r="E12" s="12" t="s">
        <v>45</v>
      </c>
      <c r="F12" s="7" t="s">
        <v>16</v>
      </c>
      <c r="G12" s="8" t="n">
        <v>46317</v>
      </c>
      <c r="H12" s="8" t="n">
        <v>46317</v>
      </c>
      <c r="I12" s="14" t="n">
        <f aca="false">IF(AND(G12&lt;&gt;"",H12&lt;&gt;""),H12-G12+1,"")</f>
        <v>1</v>
      </c>
      <c r="J12" s="10" t="s">
        <v>46</v>
      </c>
    </row>
    <row r="13" customFormat="false" ht="23.85" hidden="false" customHeight="false" outlineLevel="0" collapsed="false">
      <c r="A13" s="11" t="n">
        <v>1</v>
      </c>
      <c r="B13" s="12" t="s">
        <v>42</v>
      </c>
      <c r="C13" s="13" t="s">
        <v>47</v>
      </c>
      <c r="D13" s="12" t="s">
        <v>48</v>
      </c>
      <c r="E13" s="12" t="s">
        <v>49</v>
      </c>
      <c r="F13" s="7" t="s">
        <v>16</v>
      </c>
      <c r="G13" s="8" t="n">
        <v>46317</v>
      </c>
      <c r="H13" s="8" t="n">
        <v>46317</v>
      </c>
      <c r="I13" s="14" t="n">
        <f aca="false">IF(AND(G13&lt;&gt;"",H13&lt;&gt;""),H13-G13+1,"")</f>
        <v>1</v>
      </c>
      <c r="J13" s="10" t="s">
        <v>50</v>
      </c>
    </row>
    <row r="14" customFormat="false" ht="23.85" hidden="false" customHeight="false" outlineLevel="0" collapsed="false">
      <c r="A14" s="11" t="n">
        <v>1</v>
      </c>
      <c r="B14" s="12" t="s">
        <v>42</v>
      </c>
      <c r="C14" s="13" t="s">
        <v>51</v>
      </c>
      <c r="D14" s="12" t="s">
        <v>52</v>
      </c>
      <c r="E14" s="12" t="s">
        <v>53</v>
      </c>
      <c r="F14" s="7" t="s">
        <v>16</v>
      </c>
      <c r="G14" s="8" t="n">
        <v>46317</v>
      </c>
      <c r="H14" s="8" t="n">
        <v>46317</v>
      </c>
      <c r="I14" s="14" t="n">
        <f aca="false">IF(AND(G14&lt;&gt;"",H14&lt;&gt;""),H14-G14+1,"")</f>
        <v>1</v>
      </c>
      <c r="J14" s="10" t="s">
        <v>54</v>
      </c>
    </row>
    <row r="15" customFormat="false" ht="23.85" hidden="false" customHeight="false" outlineLevel="0" collapsed="false">
      <c r="A15" s="11" t="n">
        <v>1</v>
      </c>
      <c r="B15" s="12" t="s">
        <v>42</v>
      </c>
      <c r="C15" s="13" t="s">
        <v>55</v>
      </c>
      <c r="D15" s="12" t="s">
        <v>56</v>
      </c>
      <c r="E15" s="12" t="s">
        <v>57</v>
      </c>
      <c r="F15" s="7" t="s">
        <v>16</v>
      </c>
      <c r="G15" s="8" t="n">
        <v>46317</v>
      </c>
      <c r="H15" s="8" t="n">
        <v>46317</v>
      </c>
      <c r="I15" s="14" t="n">
        <f aca="false">IF(AND(G15&lt;&gt;"",H15&lt;&gt;""),H15-G15+1,"")</f>
        <v>1</v>
      </c>
      <c r="J15" s="10" t="s">
        <v>58</v>
      </c>
    </row>
    <row r="16" customFormat="false" ht="57.45" hidden="false" customHeight="false" outlineLevel="0" collapsed="false">
      <c r="A16" s="11" t="n">
        <v>1</v>
      </c>
      <c r="B16" s="12" t="s">
        <v>42</v>
      </c>
      <c r="C16" s="13" t="s">
        <v>59</v>
      </c>
      <c r="D16" s="12" t="s">
        <v>60</v>
      </c>
      <c r="E16" s="12" t="s">
        <v>61</v>
      </c>
      <c r="F16" s="7" t="s">
        <v>16</v>
      </c>
      <c r="G16" s="8" t="n">
        <v>46317</v>
      </c>
      <c r="H16" s="8" t="n">
        <v>46317</v>
      </c>
      <c r="I16" s="14" t="n">
        <f aca="false">IF(AND(G16&lt;&gt;"",H16&lt;&gt;""),H16-G16+1,"")</f>
        <v>1</v>
      </c>
      <c r="J16" s="10" t="s">
        <v>62</v>
      </c>
    </row>
    <row r="17" customFormat="false" ht="23.85" hidden="false" customHeight="false" outlineLevel="0" collapsed="false">
      <c r="A17" s="11" t="n">
        <v>1</v>
      </c>
      <c r="B17" s="12" t="s">
        <v>42</v>
      </c>
      <c r="C17" s="13" t="s">
        <v>63</v>
      </c>
      <c r="D17" s="12" t="s">
        <v>64</v>
      </c>
      <c r="E17" s="12" t="s">
        <v>65</v>
      </c>
      <c r="F17" s="7" t="s">
        <v>16</v>
      </c>
      <c r="G17" s="8" t="n">
        <v>46317</v>
      </c>
      <c r="H17" s="8" t="n">
        <v>46317</v>
      </c>
      <c r="I17" s="14" t="n">
        <f aca="false">IF(AND(G17&lt;&gt;"",H17&lt;&gt;""),H17-G17+1,"")</f>
        <v>1</v>
      </c>
      <c r="J17" s="10" t="s">
        <v>66</v>
      </c>
    </row>
    <row r="18" customFormat="false" ht="57.45" hidden="false" customHeight="false" outlineLevel="0" collapsed="false">
      <c r="A18" s="11" t="n">
        <v>1</v>
      </c>
      <c r="B18" s="12" t="s">
        <v>42</v>
      </c>
      <c r="C18" s="13" t="s">
        <v>67</v>
      </c>
      <c r="D18" s="12" t="s">
        <v>68</v>
      </c>
      <c r="E18" s="12" t="s">
        <v>69</v>
      </c>
      <c r="F18" s="7" t="s">
        <v>16</v>
      </c>
      <c r="G18" s="8" t="n">
        <v>46317</v>
      </c>
      <c r="H18" s="8" t="n">
        <v>46317</v>
      </c>
      <c r="I18" s="14" t="n">
        <f aca="false">IF(AND(G18&lt;&gt;"",H18&lt;&gt;""),H18-G18+1,"")</f>
        <v>1</v>
      </c>
      <c r="J18" s="10" t="s">
        <v>70</v>
      </c>
    </row>
    <row r="19" customFormat="false" ht="35.05" hidden="false" customHeight="false" outlineLevel="0" collapsed="false">
      <c r="A19" s="11" t="n">
        <v>1</v>
      </c>
      <c r="B19" s="12" t="s">
        <v>42</v>
      </c>
      <c r="C19" s="13" t="s">
        <v>71</v>
      </c>
      <c r="D19" s="12" t="s">
        <v>72</v>
      </c>
      <c r="E19" s="12" t="s">
        <v>73</v>
      </c>
      <c r="F19" s="7" t="s">
        <v>28</v>
      </c>
      <c r="G19" s="8" t="n">
        <v>46317</v>
      </c>
      <c r="H19" s="8"/>
      <c r="I19" s="14" t="str">
        <f aca="false">IF(AND(G19&lt;&gt;"",H19&lt;&gt;""),H19-G19+1,"")</f>
        <v/>
      </c>
      <c r="J19" s="10" t="s">
        <v>74</v>
      </c>
    </row>
    <row r="20" customFormat="false" ht="57.45" hidden="false" customHeight="false" outlineLevel="0" collapsed="false">
      <c r="A20" s="4" t="n">
        <v>2</v>
      </c>
      <c r="B20" s="5" t="s">
        <v>75</v>
      </c>
      <c r="C20" s="6" t="s">
        <v>76</v>
      </c>
      <c r="D20" s="5" t="s">
        <v>77</v>
      </c>
      <c r="E20" s="5" t="s">
        <v>78</v>
      </c>
      <c r="F20" s="7" t="s">
        <v>28</v>
      </c>
      <c r="G20" s="8" t="n">
        <v>46317</v>
      </c>
      <c r="H20" s="8"/>
      <c r="I20" s="9" t="str">
        <f aca="false">IF(AND(G20&lt;&gt;"",H20&lt;&gt;""),H20-G20+1,"")</f>
        <v/>
      </c>
      <c r="J20" s="10" t="s">
        <v>79</v>
      </c>
    </row>
    <row r="21" customFormat="false" ht="35.05" hidden="false" customHeight="false" outlineLevel="0" collapsed="false">
      <c r="A21" s="4" t="n">
        <v>2</v>
      </c>
      <c r="B21" s="5" t="s">
        <v>75</v>
      </c>
      <c r="C21" s="6" t="s">
        <v>80</v>
      </c>
      <c r="D21" s="5" t="s">
        <v>81</v>
      </c>
      <c r="E21" s="5" t="s">
        <v>82</v>
      </c>
      <c r="F21" s="7" t="s">
        <v>28</v>
      </c>
      <c r="G21" s="8" t="n">
        <v>46317</v>
      </c>
      <c r="H21" s="8"/>
      <c r="I21" s="9" t="str">
        <f aca="false">IF(AND(G21&lt;&gt;"",H21&lt;&gt;""),H21-G21+1,"")</f>
        <v/>
      </c>
      <c r="J21" s="10" t="s">
        <v>83</v>
      </c>
    </row>
    <row r="22" customFormat="false" ht="35.05" hidden="false" customHeight="false" outlineLevel="0" collapsed="false">
      <c r="A22" s="4" t="n">
        <v>2</v>
      </c>
      <c r="B22" s="5" t="s">
        <v>75</v>
      </c>
      <c r="C22" s="6" t="s">
        <v>84</v>
      </c>
      <c r="D22" s="5" t="s">
        <v>85</v>
      </c>
      <c r="E22" s="5" t="s">
        <v>86</v>
      </c>
      <c r="F22" s="7" t="s">
        <v>28</v>
      </c>
      <c r="G22" s="8" t="n">
        <v>46317</v>
      </c>
      <c r="H22" s="8"/>
      <c r="I22" s="9" t="str">
        <f aca="false">IF(AND(G22&lt;&gt;"",H22&lt;&gt;""),H22-G22+1,"")</f>
        <v/>
      </c>
      <c r="J22" s="10" t="s">
        <v>87</v>
      </c>
    </row>
    <row r="23" customFormat="false" ht="35.05" hidden="false" customHeight="false" outlineLevel="0" collapsed="false">
      <c r="A23" s="4" t="n">
        <v>2</v>
      </c>
      <c r="B23" s="5" t="s">
        <v>75</v>
      </c>
      <c r="C23" s="6" t="s">
        <v>88</v>
      </c>
      <c r="D23" s="5" t="s">
        <v>89</v>
      </c>
      <c r="E23" s="5" t="s">
        <v>90</v>
      </c>
      <c r="F23" s="7" t="s">
        <v>28</v>
      </c>
      <c r="G23" s="8" t="n">
        <v>46317</v>
      </c>
      <c r="H23" s="8"/>
      <c r="I23" s="9" t="str">
        <f aca="false">IF(AND(G23&lt;&gt;"",H23&lt;&gt;""),H23-G23+1,"")</f>
        <v/>
      </c>
      <c r="J23" s="10" t="s">
        <v>91</v>
      </c>
    </row>
    <row r="24" customFormat="false" ht="23.85" hidden="false" customHeight="false" outlineLevel="0" collapsed="false">
      <c r="A24" s="4" t="n">
        <v>2</v>
      </c>
      <c r="B24" s="5" t="s">
        <v>75</v>
      </c>
      <c r="C24" s="6" t="s">
        <v>92</v>
      </c>
      <c r="D24" s="5" t="s">
        <v>93</v>
      </c>
      <c r="E24" s="5" t="s">
        <v>94</v>
      </c>
      <c r="F24" s="7" t="s">
        <v>28</v>
      </c>
      <c r="G24" s="8" t="n">
        <v>46317</v>
      </c>
      <c r="H24" s="8"/>
      <c r="I24" s="9" t="str">
        <f aca="false">IF(AND(G24&lt;&gt;"",H24&lt;&gt;""),H24-G24+1,"")</f>
        <v/>
      </c>
      <c r="J24" s="10" t="s">
        <v>95</v>
      </c>
    </row>
    <row r="25" customFormat="false" ht="35.05" hidden="false" customHeight="false" outlineLevel="0" collapsed="false">
      <c r="A25" s="4" t="n">
        <v>2</v>
      </c>
      <c r="B25" s="5" t="s">
        <v>75</v>
      </c>
      <c r="C25" s="6" t="s">
        <v>96</v>
      </c>
      <c r="D25" s="5" t="s">
        <v>97</v>
      </c>
      <c r="E25" s="5" t="s">
        <v>98</v>
      </c>
      <c r="F25" s="7" t="s">
        <v>28</v>
      </c>
      <c r="G25" s="8" t="n">
        <v>46317</v>
      </c>
      <c r="H25" s="8"/>
      <c r="I25" s="9" t="str">
        <f aca="false">IF(AND(G25&lt;&gt;"",H25&lt;&gt;""),H25-G25+1,"")</f>
        <v/>
      </c>
      <c r="J25" s="10" t="s">
        <v>99</v>
      </c>
    </row>
    <row r="26" customFormat="false" ht="35.05" hidden="false" customHeight="false" outlineLevel="0" collapsed="false">
      <c r="A26" s="4" t="n">
        <v>2</v>
      </c>
      <c r="B26" s="5" t="s">
        <v>75</v>
      </c>
      <c r="C26" s="6" t="s">
        <v>100</v>
      </c>
      <c r="D26" s="5" t="s">
        <v>101</v>
      </c>
      <c r="E26" s="5" t="s">
        <v>102</v>
      </c>
      <c r="F26" s="7" t="s">
        <v>28</v>
      </c>
      <c r="G26" s="8" t="n">
        <v>46317</v>
      </c>
      <c r="H26" s="8"/>
      <c r="I26" s="9" t="str">
        <f aca="false">IF(AND(G26&lt;&gt;"",H26&lt;&gt;""),H26-G26+1,"")</f>
        <v/>
      </c>
      <c r="J26" s="10" t="s">
        <v>103</v>
      </c>
    </row>
    <row r="27" customFormat="false" ht="23.85" hidden="false" customHeight="false" outlineLevel="0" collapsed="false">
      <c r="A27" s="11" t="n">
        <v>3</v>
      </c>
      <c r="B27" s="12" t="s">
        <v>104</v>
      </c>
      <c r="C27" s="13" t="s">
        <v>105</v>
      </c>
      <c r="D27" s="12" t="s">
        <v>106</v>
      </c>
      <c r="E27" s="12" t="s">
        <v>107</v>
      </c>
      <c r="F27" s="7" t="s">
        <v>28</v>
      </c>
      <c r="G27" s="8" t="n">
        <v>46317</v>
      </c>
      <c r="H27" s="8"/>
      <c r="I27" s="14" t="str">
        <f aca="false">IF(AND(G27&lt;&gt;"",H27&lt;&gt;""),H27-G27+1,"")</f>
        <v/>
      </c>
      <c r="J27" s="10" t="s">
        <v>108</v>
      </c>
    </row>
    <row r="28" customFormat="false" ht="35.05" hidden="false" customHeight="false" outlineLevel="0" collapsed="false">
      <c r="A28" s="11" t="n">
        <v>3</v>
      </c>
      <c r="B28" s="12" t="s">
        <v>104</v>
      </c>
      <c r="C28" s="13" t="s">
        <v>109</v>
      </c>
      <c r="D28" s="12" t="s">
        <v>110</v>
      </c>
      <c r="E28" s="12" t="s">
        <v>111</v>
      </c>
      <c r="F28" s="7" t="s">
        <v>28</v>
      </c>
      <c r="G28" s="8" t="n">
        <v>46317</v>
      </c>
      <c r="H28" s="8"/>
      <c r="I28" s="14" t="str">
        <f aca="false">IF(AND(G28&lt;&gt;"",H28&lt;&gt;""),H28-G28+1,"")</f>
        <v/>
      </c>
      <c r="J28" s="10" t="s">
        <v>112</v>
      </c>
    </row>
    <row r="29" customFormat="false" ht="23.85" hidden="false" customHeight="false" outlineLevel="0" collapsed="false">
      <c r="A29" s="11" t="n">
        <v>3</v>
      </c>
      <c r="B29" s="12" t="s">
        <v>104</v>
      </c>
      <c r="C29" s="13" t="s">
        <v>113</v>
      </c>
      <c r="D29" s="12" t="s">
        <v>114</v>
      </c>
      <c r="E29" s="12" t="s">
        <v>115</v>
      </c>
      <c r="F29" s="7" t="s">
        <v>28</v>
      </c>
      <c r="G29" s="8" t="n">
        <v>46317</v>
      </c>
      <c r="H29" s="8"/>
      <c r="I29" s="14" t="str">
        <f aca="false">IF(AND(G29&lt;&gt;"",H29&lt;&gt;""),H29-G29+1,"")</f>
        <v/>
      </c>
      <c r="J29" s="10" t="s">
        <v>116</v>
      </c>
    </row>
    <row r="30" customFormat="false" ht="15" hidden="false" customHeight="false" outlineLevel="0" collapsed="false">
      <c r="A30" s="11" t="n">
        <v>3</v>
      </c>
      <c r="B30" s="12" t="s">
        <v>104</v>
      </c>
      <c r="C30" s="13" t="s">
        <v>117</v>
      </c>
      <c r="D30" s="12" t="s">
        <v>118</v>
      </c>
      <c r="E30" s="12" t="s">
        <v>119</v>
      </c>
      <c r="F30" s="7" t="s">
        <v>120</v>
      </c>
      <c r="G30" s="8"/>
      <c r="H30" s="8"/>
      <c r="I30" s="14" t="str">
        <f aca="false">IF(AND(G30&lt;&gt;"",H30&lt;&gt;""),H30-G30+1,"")</f>
        <v/>
      </c>
      <c r="J30" s="10" t="s">
        <v>121</v>
      </c>
    </row>
    <row r="31" customFormat="false" ht="15" hidden="false" customHeight="false" outlineLevel="0" collapsed="false">
      <c r="A31" s="11" t="n">
        <v>3</v>
      </c>
      <c r="B31" s="12" t="s">
        <v>104</v>
      </c>
      <c r="C31" s="13" t="s">
        <v>122</v>
      </c>
      <c r="D31" s="12" t="s">
        <v>123</v>
      </c>
      <c r="E31" s="12" t="s">
        <v>124</v>
      </c>
      <c r="F31" s="7" t="s">
        <v>120</v>
      </c>
      <c r="G31" s="8"/>
      <c r="H31" s="8"/>
      <c r="I31" s="14" t="str">
        <f aca="false">IF(AND(G31&lt;&gt;"",H31&lt;&gt;""),H31-G31+1,"")</f>
        <v/>
      </c>
      <c r="J31" s="10" t="s">
        <v>125</v>
      </c>
    </row>
    <row r="32" customFormat="false" ht="15" hidden="false" customHeight="false" outlineLevel="0" collapsed="false">
      <c r="A32" s="11" t="n">
        <v>3</v>
      </c>
      <c r="B32" s="12" t="s">
        <v>104</v>
      </c>
      <c r="C32" s="13" t="s">
        <v>126</v>
      </c>
      <c r="D32" s="12" t="s">
        <v>127</v>
      </c>
      <c r="E32" s="12" t="s">
        <v>128</v>
      </c>
      <c r="F32" s="7" t="s">
        <v>120</v>
      </c>
      <c r="G32" s="8"/>
      <c r="H32" s="8"/>
      <c r="I32" s="14" t="str">
        <f aca="false">IF(AND(G32&lt;&gt;"",H32&lt;&gt;""),H32-G32+1,"")</f>
        <v/>
      </c>
      <c r="J32" s="10"/>
    </row>
    <row r="33" customFormat="false" ht="15" hidden="false" customHeight="false" outlineLevel="0" collapsed="false">
      <c r="A33" s="11" t="n">
        <v>3</v>
      </c>
      <c r="B33" s="12" t="s">
        <v>104</v>
      </c>
      <c r="C33" s="13" t="s">
        <v>129</v>
      </c>
      <c r="D33" s="12" t="s">
        <v>130</v>
      </c>
      <c r="E33" s="12" t="s">
        <v>131</v>
      </c>
      <c r="F33" s="7" t="s">
        <v>120</v>
      </c>
      <c r="G33" s="8"/>
      <c r="H33" s="8"/>
      <c r="I33" s="14" t="str">
        <f aca="false">IF(AND(G33&lt;&gt;"",H33&lt;&gt;""),H33-G33+1,"")</f>
        <v/>
      </c>
      <c r="J33" s="10"/>
    </row>
    <row r="34" customFormat="false" ht="23.85" hidden="false" customHeight="false" outlineLevel="0" collapsed="false">
      <c r="A34" s="4" t="n">
        <v>4</v>
      </c>
      <c r="B34" s="5" t="s">
        <v>132</v>
      </c>
      <c r="C34" s="6" t="s">
        <v>133</v>
      </c>
      <c r="D34" s="5" t="s">
        <v>134</v>
      </c>
      <c r="E34" s="5" t="s">
        <v>135</v>
      </c>
      <c r="F34" s="7" t="s">
        <v>16</v>
      </c>
      <c r="G34" s="8" t="n">
        <v>46317</v>
      </c>
      <c r="H34" s="8"/>
      <c r="I34" s="9" t="str">
        <f aca="false">IF(AND(G34&lt;&gt;"",H34&lt;&gt;""),H34-G34+1,"")</f>
        <v/>
      </c>
      <c r="J34" s="10" t="s">
        <v>136</v>
      </c>
    </row>
    <row r="35" customFormat="false" ht="23.85" hidden="false" customHeight="false" outlineLevel="0" collapsed="false">
      <c r="A35" s="4" t="n">
        <v>4</v>
      </c>
      <c r="B35" s="5" t="s">
        <v>132</v>
      </c>
      <c r="C35" s="6" t="s">
        <v>137</v>
      </c>
      <c r="D35" s="5" t="s">
        <v>138</v>
      </c>
      <c r="E35" s="5" t="s">
        <v>139</v>
      </c>
      <c r="F35" s="7" t="s">
        <v>28</v>
      </c>
      <c r="G35" s="8" t="n">
        <v>46317</v>
      </c>
      <c r="H35" s="8"/>
      <c r="I35" s="9" t="str">
        <f aca="false">IF(AND(G35&lt;&gt;"",H35&lt;&gt;""),H35-G35+1,"")</f>
        <v/>
      </c>
      <c r="J35" s="10" t="s">
        <v>140</v>
      </c>
    </row>
    <row r="36" customFormat="false" ht="15" hidden="false" customHeight="false" outlineLevel="0" collapsed="false">
      <c r="A36" s="4" t="n">
        <v>4</v>
      </c>
      <c r="B36" s="5" t="s">
        <v>132</v>
      </c>
      <c r="C36" s="6" t="s">
        <v>141</v>
      </c>
      <c r="D36" s="5" t="s">
        <v>142</v>
      </c>
      <c r="E36" s="5" t="s">
        <v>143</v>
      </c>
      <c r="F36" s="7" t="s">
        <v>120</v>
      </c>
      <c r="G36" s="8"/>
      <c r="H36" s="8"/>
      <c r="I36" s="9" t="str">
        <f aca="false">IF(AND(G36&lt;&gt;"",H36&lt;&gt;""),H36-G36+1,"")</f>
        <v/>
      </c>
      <c r="J36" s="10" t="s">
        <v>144</v>
      </c>
    </row>
    <row r="37" customFormat="false" ht="23.85" hidden="false" customHeight="false" outlineLevel="0" collapsed="false">
      <c r="A37" s="4" t="n">
        <v>4</v>
      </c>
      <c r="B37" s="5" t="s">
        <v>132</v>
      </c>
      <c r="C37" s="6" t="s">
        <v>145</v>
      </c>
      <c r="D37" s="5" t="s">
        <v>146</v>
      </c>
      <c r="E37" s="5" t="s">
        <v>147</v>
      </c>
      <c r="F37" s="7" t="s">
        <v>28</v>
      </c>
      <c r="G37" s="8" t="n">
        <v>46317</v>
      </c>
      <c r="H37" s="8"/>
      <c r="I37" s="9" t="str">
        <f aca="false">IF(AND(G37&lt;&gt;"",H37&lt;&gt;""),H37-G37+1,"")</f>
        <v/>
      </c>
      <c r="J37" s="10" t="s">
        <v>148</v>
      </c>
    </row>
    <row r="38" customFormat="false" ht="23.85" hidden="false" customHeight="false" outlineLevel="0" collapsed="false">
      <c r="A38" s="4" t="n">
        <v>4</v>
      </c>
      <c r="B38" s="5" t="s">
        <v>132</v>
      </c>
      <c r="C38" s="6" t="s">
        <v>149</v>
      </c>
      <c r="D38" s="5" t="s">
        <v>150</v>
      </c>
      <c r="E38" s="5" t="s">
        <v>151</v>
      </c>
      <c r="F38" s="7" t="s">
        <v>28</v>
      </c>
      <c r="G38" s="8" t="n">
        <v>46317</v>
      </c>
      <c r="H38" s="8"/>
      <c r="I38" s="9" t="str">
        <f aca="false">IF(AND(G38&lt;&gt;"",H38&lt;&gt;""),H38-G38+1,"")</f>
        <v/>
      </c>
      <c r="J38" s="10" t="s">
        <v>152</v>
      </c>
    </row>
    <row r="39" customFormat="false" ht="15" hidden="false" customHeight="false" outlineLevel="0" collapsed="false">
      <c r="A39" s="4" t="n">
        <v>4</v>
      </c>
      <c r="B39" s="5" t="s">
        <v>132</v>
      </c>
      <c r="C39" s="6" t="s">
        <v>153</v>
      </c>
      <c r="D39" s="5" t="s">
        <v>154</v>
      </c>
      <c r="E39" s="5" t="s">
        <v>155</v>
      </c>
      <c r="F39" s="7" t="s">
        <v>120</v>
      </c>
      <c r="G39" s="8"/>
      <c r="H39" s="8"/>
      <c r="I39" s="9" t="str">
        <f aca="false">IF(AND(G39&lt;&gt;"",H39&lt;&gt;""),H39-G39+1,"")</f>
        <v/>
      </c>
      <c r="J39" s="10"/>
    </row>
    <row r="40" customFormat="false" ht="23.85" hidden="false" customHeight="false" outlineLevel="0" collapsed="false">
      <c r="A40" s="11" t="n">
        <v>5</v>
      </c>
      <c r="B40" s="12" t="s">
        <v>156</v>
      </c>
      <c r="C40" s="13" t="s">
        <v>157</v>
      </c>
      <c r="D40" s="12" t="s">
        <v>158</v>
      </c>
      <c r="E40" s="12" t="s">
        <v>159</v>
      </c>
      <c r="F40" s="7" t="s">
        <v>120</v>
      </c>
      <c r="G40" s="8"/>
      <c r="H40" s="8"/>
      <c r="I40" s="14" t="str">
        <f aca="false">IF(AND(G40&lt;&gt;"",H40&lt;&gt;""),H40-G40+1,"")</f>
        <v/>
      </c>
      <c r="J40" s="10"/>
    </row>
    <row r="41" customFormat="false" ht="23.85" hidden="false" customHeight="false" outlineLevel="0" collapsed="false">
      <c r="A41" s="11" t="n">
        <v>5</v>
      </c>
      <c r="B41" s="12" t="s">
        <v>156</v>
      </c>
      <c r="C41" s="13" t="s">
        <v>160</v>
      </c>
      <c r="D41" s="12" t="s">
        <v>161</v>
      </c>
      <c r="E41" s="12" t="s">
        <v>162</v>
      </c>
      <c r="F41" s="7" t="s">
        <v>120</v>
      </c>
      <c r="G41" s="8"/>
      <c r="H41" s="8"/>
      <c r="I41" s="14" t="str">
        <f aca="false">IF(AND(G41&lt;&gt;"",H41&lt;&gt;""),H41-G41+1,"")</f>
        <v/>
      </c>
      <c r="J41" s="10"/>
    </row>
    <row r="42" customFormat="false" ht="23.85" hidden="false" customHeight="false" outlineLevel="0" collapsed="false">
      <c r="A42" s="11" t="n">
        <v>5</v>
      </c>
      <c r="B42" s="12" t="s">
        <v>156</v>
      </c>
      <c r="C42" s="13" t="s">
        <v>163</v>
      </c>
      <c r="D42" s="12" t="s">
        <v>164</v>
      </c>
      <c r="E42" s="12" t="s">
        <v>165</v>
      </c>
      <c r="F42" s="7" t="s">
        <v>120</v>
      </c>
      <c r="G42" s="8"/>
      <c r="H42" s="8"/>
      <c r="I42" s="14" t="str">
        <f aca="false">IF(AND(G42&lt;&gt;"",H42&lt;&gt;""),H42-G42+1,"")</f>
        <v/>
      </c>
      <c r="J42" s="10"/>
    </row>
    <row r="43" customFormat="false" ht="35.05" hidden="false" customHeight="false" outlineLevel="0" collapsed="false">
      <c r="A43" s="11" t="n">
        <v>5</v>
      </c>
      <c r="B43" s="12" t="s">
        <v>156</v>
      </c>
      <c r="C43" s="13" t="s">
        <v>166</v>
      </c>
      <c r="D43" s="12" t="s">
        <v>167</v>
      </c>
      <c r="E43" s="12" t="s">
        <v>168</v>
      </c>
      <c r="F43" s="7" t="s">
        <v>28</v>
      </c>
      <c r="G43" s="8" t="n">
        <v>46317</v>
      </c>
      <c r="H43" s="8"/>
      <c r="I43" s="14" t="str">
        <f aca="false">IF(AND(G43&lt;&gt;"",H43&lt;&gt;""),H43-G43+1,"")</f>
        <v/>
      </c>
      <c r="J43" s="10" t="s">
        <v>169</v>
      </c>
    </row>
    <row r="44" customFormat="false" ht="35.05" hidden="false" customHeight="false" outlineLevel="0" collapsed="false">
      <c r="A44" s="11" t="n">
        <v>5</v>
      </c>
      <c r="B44" s="12" t="s">
        <v>156</v>
      </c>
      <c r="C44" s="13" t="s">
        <v>170</v>
      </c>
      <c r="D44" s="12" t="s">
        <v>171</v>
      </c>
      <c r="E44" s="12" t="s">
        <v>172</v>
      </c>
      <c r="F44" s="7" t="s">
        <v>28</v>
      </c>
      <c r="G44" s="8" t="n">
        <v>46317</v>
      </c>
      <c r="H44" s="8"/>
      <c r="I44" s="14" t="str">
        <f aca="false">IF(AND(G44&lt;&gt;"",H44&lt;&gt;""),H44-G44+1,"")</f>
        <v/>
      </c>
      <c r="J44" s="10" t="s">
        <v>173</v>
      </c>
    </row>
    <row r="45" customFormat="false" ht="35.05" hidden="false" customHeight="false" outlineLevel="0" collapsed="false">
      <c r="A45" s="11" t="n">
        <v>5</v>
      </c>
      <c r="B45" s="12" t="s">
        <v>156</v>
      </c>
      <c r="C45" s="13" t="s">
        <v>174</v>
      </c>
      <c r="D45" s="12" t="s">
        <v>175</v>
      </c>
      <c r="E45" s="12" t="s">
        <v>176</v>
      </c>
      <c r="F45" s="7" t="s">
        <v>28</v>
      </c>
      <c r="G45" s="8" t="n">
        <v>46317</v>
      </c>
      <c r="H45" s="8"/>
      <c r="I45" s="14" t="str">
        <f aca="false">IF(AND(G45&lt;&gt;"",H45&lt;&gt;""),H45-G45+1,"")</f>
        <v/>
      </c>
      <c r="J45" s="10" t="s">
        <v>177</v>
      </c>
    </row>
    <row r="46" customFormat="false" ht="46.25" hidden="false" customHeight="false" outlineLevel="0" collapsed="false">
      <c r="A46" s="11" t="n">
        <v>5</v>
      </c>
      <c r="B46" s="12" t="s">
        <v>156</v>
      </c>
      <c r="C46" s="13" t="s">
        <v>178</v>
      </c>
      <c r="D46" s="12" t="s">
        <v>179</v>
      </c>
      <c r="E46" s="12" t="s">
        <v>180</v>
      </c>
      <c r="F46" s="7" t="s">
        <v>28</v>
      </c>
      <c r="G46" s="8" t="n">
        <v>46317</v>
      </c>
      <c r="H46" s="8"/>
      <c r="I46" s="14" t="str">
        <f aca="false">IF(AND(G46&lt;&gt;"",H46&lt;&gt;""),H46-G46+1,"")</f>
        <v/>
      </c>
      <c r="J46" s="10" t="s">
        <v>181</v>
      </c>
    </row>
    <row r="47" customFormat="false" ht="23.85" hidden="false" customHeight="false" outlineLevel="0" collapsed="false">
      <c r="A47" s="11" t="n">
        <v>5</v>
      </c>
      <c r="B47" s="12" t="s">
        <v>156</v>
      </c>
      <c r="C47" s="13" t="s">
        <v>182</v>
      </c>
      <c r="D47" s="12" t="s">
        <v>183</v>
      </c>
      <c r="E47" s="12" t="s">
        <v>184</v>
      </c>
      <c r="F47" s="7" t="s">
        <v>28</v>
      </c>
      <c r="G47" s="8" t="n">
        <v>46317</v>
      </c>
      <c r="H47" s="8"/>
      <c r="I47" s="14" t="str">
        <f aca="false">IF(AND(G47&lt;&gt;"",H47&lt;&gt;""),H47-G47+1,"")</f>
        <v/>
      </c>
      <c r="J47" s="10" t="s">
        <v>185</v>
      </c>
    </row>
    <row r="48" customFormat="false" ht="35.05" hidden="false" customHeight="false" outlineLevel="0" collapsed="false">
      <c r="A48" s="11" t="n">
        <v>5</v>
      </c>
      <c r="B48" s="12" t="s">
        <v>156</v>
      </c>
      <c r="C48" s="13" t="s">
        <v>186</v>
      </c>
      <c r="D48" s="12" t="s">
        <v>187</v>
      </c>
      <c r="E48" s="12" t="s">
        <v>188</v>
      </c>
      <c r="F48" s="7" t="s">
        <v>28</v>
      </c>
      <c r="G48" s="8" t="n">
        <v>46317</v>
      </c>
      <c r="H48" s="8"/>
      <c r="I48" s="14" t="str">
        <f aca="false">IF(AND(G48&lt;&gt;"",H48&lt;&gt;""),H48-G48+1,"")</f>
        <v/>
      </c>
      <c r="J48" s="10" t="s">
        <v>189</v>
      </c>
    </row>
    <row r="49" customFormat="false" ht="46.25" hidden="false" customHeight="false" outlineLevel="0" collapsed="false">
      <c r="A49" s="11" t="n">
        <v>5</v>
      </c>
      <c r="B49" s="12" t="s">
        <v>156</v>
      </c>
      <c r="C49" s="13" t="s">
        <v>190</v>
      </c>
      <c r="D49" s="12" t="s">
        <v>191</v>
      </c>
      <c r="E49" s="12" t="s">
        <v>192</v>
      </c>
      <c r="F49" s="7" t="s">
        <v>28</v>
      </c>
      <c r="G49" s="8" t="n">
        <v>46317</v>
      </c>
      <c r="H49" s="8"/>
      <c r="I49" s="14" t="str">
        <f aca="false">IF(AND(G49&lt;&gt;"",H49&lt;&gt;""),H49-G49+1,"")</f>
        <v/>
      </c>
      <c r="J49" s="10" t="s">
        <v>193</v>
      </c>
    </row>
    <row r="50" customFormat="false" ht="23.85" hidden="false" customHeight="false" outlineLevel="0" collapsed="false">
      <c r="A50" s="11" t="n">
        <v>5</v>
      </c>
      <c r="B50" s="12" t="s">
        <v>156</v>
      </c>
      <c r="C50" s="13" t="s">
        <v>194</v>
      </c>
      <c r="D50" s="12" t="s">
        <v>195</v>
      </c>
      <c r="E50" s="12" t="s">
        <v>196</v>
      </c>
      <c r="F50" s="7" t="s">
        <v>120</v>
      </c>
      <c r="G50" s="8"/>
      <c r="H50" s="8"/>
      <c r="I50" s="14" t="str">
        <f aca="false">IF(AND(G50&lt;&gt;"",H50&lt;&gt;""),H50-G50+1,"")</f>
        <v/>
      </c>
      <c r="J50" s="10"/>
    </row>
    <row r="51" customFormat="false" ht="15" hidden="false" customHeight="false" outlineLevel="0" collapsed="false">
      <c r="A51" s="4" t="n">
        <v>6</v>
      </c>
      <c r="B51" s="5" t="s">
        <v>197</v>
      </c>
      <c r="C51" s="6" t="s">
        <v>198</v>
      </c>
      <c r="D51" s="5" t="s">
        <v>199</v>
      </c>
      <c r="E51" s="5" t="s">
        <v>200</v>
      </c>
      <c r="F51" s="7" t="s">
        <v>120</v>
      </c>
      <c r="G51" s="8"/>
      <c r="H51" s="8"/>
      <c r="I51" s="9" t="str">
        <f aca="false">IF(AND(G51&lt;&gt;"",H51&lt;&gt;""),H51-G51+1,"")</f>
        <v/>
      </c>
      <c r="J51" s="10"/>
    </row>
    <row r="52" customFormat="false" ht="15" hidden="false" customHeight="false" outlineLevel="0" collapsed="false">
      <c r="A52" s="4" t="n">
        <v>6</v>
      </c>
      <c r="B52" s="5" t="s">
        <v>197</v>
      </c>
      <c r="C52" s="6" t="s">
        <v>201</v>
      </c>
      <c r="D52" s="5" t="s">
        <v>202</v>
      </c>
      <c r="E52" s="5" t="s">
        <v>203</v>
      </c>
      <c r="F52" s="7" t="s">
        <v>120</v>
      </c>
      <c r="G52" s="8"/>
      <c r="H52" s="8"/>
      <c r="I52" s="9" t="str">
        <f aca="false">IF(AND(G52&lt;&gt;"",H52&lt;&gt;""),H52-G52+1,"")</f>
        <v/>
      </c>
      <c r="J52" s="10"/>
    </row>
    <row r="53" customFormat="false" ht="15" hidden="false" customHeight="false" outlineLevel="0" collapsed="false">
      <c r="A53" s="4" t="n">
        <v>6</v>
      </c>
      <c r="B53" s="5" t="s">
        <v>197</v>
      </c>
      <c r="C53" s="6" t="s">
        <v>204</v>
      </c>
      <c r="D53" s="5" t="s">
        <v>205</v>
      </c>
      <c r="E53" s="5" t="s">
        <v>206</v>
      </c>
      <c r="F53" s="7" t="s">
        <v>120</v>
      </c>
      <c r="G53" s="8"/>
      <c r="H53" s="8"/>
      <c r="I53" s="9" t="str">
        <f aca="false">IF(AND(G53&lt;&gt;"",H53&lt;&gt;""),H53-G53+1,"")</f>
        <v/>
      </c>
      <c r="J53" s="10"/>
    </row>
    <row r="54" customFormat="false" ht="15" hidden="false" customHeight="false" outlineLevel="0" collapsed="false">
      <c r="A54" s="4" t="n">
        <v>6</v>
      </c>
      <c r="B54" s="5" t="s">
        <v>197</v>
      </c>
      <c r="C54" s="6" t="s">
        <v>207</v>
      </c>
      <c r="D54" s="5" t="s">
        <v>208</v>
      </c>
      <c r="E54" s="5" t="s">
        <v>209</v>
      </c>
      <c r="F54" s="7" t="s">
        <v>120</v>
      </c>
      <c r="G54" s="8"/>
      <c r="H54" s="8"/>
      <c r="I54" s="9" t="str">
        <f aca="false">IF(AND(G54&lt;&gt;"",H54&lt;&gt;""),H54-G54+1,"")</f>
        <v/>
      </c>
      <c r="J54" s="10"/>
    </row>
    <row r="55" customFormat="false" ht="15" hidden="false" customHeight="false" outlineLevel="0" collapsed="false">
      <c r="A55" s="4" t="n">
        <v>6</v>
      </c>
      <c r="B55" s="5" t="s">
        <v>197</v>
      </c>
      <c r="C55" s="6" t="s">
        <v>210</v>
      </c>
      <c r="D55" s="5" t="s">
        <v>211</v>
      </c>
      <c r="E55" s="5" t="s">
        <v>212</v>
      </c>
      <c r="F55" s="7" t="s">
        <v>120</v>
      </c>
      <c r="G55" s="8"/>
      <c r="H55" s="8"/>
      <c r="I55" s="9" t="str">
        <f aca="false">IF(AND(G55&lt;&gt;"",H55&lt;&gt;""),H55-G55+1,"")</f>
        <v/>
      </c>
      <c r="J55" s="10"/>
    </row>
    <row r="56" customFormat="false" ht="15" hidden="false" customHeight="false" outlineLevel="0" collapsed="false">
      <c r="A56" s="11" t="n">
        <v>7</v>
      </c>
      <c r="B56" s="12" t="s">
        <v>213</v>
      </c>
      <c r="C56" s="13" t="s">
        <v>214</v>
      </c>
      <c r="D56" s="12" t="s">
        <v>215</v>
      </c>
      <c r="E56" s="12" t="s">
        <v>216</v>
      </c>
      <c r="F56" s="7" t="s">
        <v>120</v>
      </c>
      <c r="G56" s="8"/>
      <c r="H56" s="8"/>
      <c r="I56" s="14" t="str">
        <f aca="false">IF(AND(G56&lt;&gt;"",H56&lt;&gt;""),H56-G56+1,"")</f>
        <v/>
      </c>
      <c r="J56" s="10"/>
    </row>
    <row r="57" customFormat="false" ht="15" hidden="false" customHeight="false" outlineLevel="0" collapsed="false">
      <c r="A57" s="11" t="n">
        <v>7</v>
      </c>
      <c r="B57" s="12" t="s">
        <v>213</v>
      </c>
      <c r="C57" s="13" t="s">
        <v>217</v>
      </c>
      <c r="D57" s="12" t="s">
        <v>218</v>
      </c>
      <c r="E57" s="12" t="s">
        <v>219</v>
      </c>
      <c r="F57" s="7" t="s">
        <v>120</v>
      </c>
      <c r="G57" s="8"/>
      <c r="H57" s="8"/>
      <c r="I57" s="14" t="str">
        <f aca="false">IF(AND(G57&lt;&gt;"",H57&lt;&gt;""),H57-G57+1,"")</f>
        <v/>
      </c>
      <c r="J57" s="10" t="s">
        <v>220</v>
      </c>
    </row>
    <row r="58" customFormat="false" ht="15" hidden="false" customHeight="false" outlineLevel="0" collapsed="false">
      <c r="A58" s="11" t="n">
        <v>7</v>
      </c>
      <c r="B58" s="12" t="s">
        <v>213</v>
      </c>
      <c r="C58" s="13" t="s">
        <v>221</v>
      </c>
      <c r="D58" s="12" t="s">
        <v>222</v>
      </c>
      <c r="E58" s="12" t="s">
        <v>223</v>
      </c>
      <c r="F58" s="7" t="s">
        <v>120</v>
      </c>
      <c r="G58" s="8"/>
      <c r="H58" s="8"/>
      <c r="I58" s="14" t="str">
        <f aca="false">IF(AND(G58&lt;&gt;"",H58&lt;&gt;""),H58-G58+1,"")</f>
        <v/>
      </c>
      <c r="J58" s="10"/>
    </row>
    <row r="59" customFormat="false" ht="15" hidden="false" customHeight="false" outlineLevel="0" collapsed="false">
      <c r="A59" s="11" t="n">
        <v>7</v>
      </c>
      <c r="B59" s="12" t="s">
        <v>213</v>
      </c>
      <c r="C59" s="13" t="s">
        <v>224</v>
      </c>
      <c r="D59" s="12" t="s">
        <v>225</v>
      </c>
      <c r="E59" s="12" t="s">
        <v>226</v>
      </c>
      <c r="F59" s="7" t="s">
        <v>120</v>
      </c>
      <c r="G59" s="8"/>
      <c r="H59" s="8"/>
      <c r="I59" s="14" t="str">
        <f aca="false">IF(AND(G59&lt;&gt;"",H59&lt;&gt;""),H59-G59+1,"")</f>
        <v/>
      </c>
      <c r="J59" s="10"/>
    </row>
    <row r="60" customFormat="false" ht="15" hidden="false" customHeight="false" outlineLevel="0" collapsed="false">
      <c r="A60" s="11" t="n">
        <v>7</v>
      </c>
      <c r="B60" s="12" t="s">
        <v>213</v>
      </c>
      <c r="C60" s="13" t="s">
        <v>227</v>
      </c>
      <c r="D60" s="12" t="s">
        <v>228</v>
      </c>
      <c r="E60" s="12" t="s">
        <v>229</v>
      </c>
      <c r="F60" s="7" t="s">
        <v>120</v>
      </c>
      <c r="G60" s="8"/>
      <c r="H60" s="8"/>
      <c r="I60" s="14" t="str">
        <f aca="false">IF(AND(G60&lt;&gt;"",H60&lt;&gt;""),H60-G60+1,"")</f>
        <v/>
      </c>
      <c r="J60" s="10"/>
    </row>
    <row r="61" customFormat="false" ht="15" hidden="false" customHeight="false" outlineLevel="0" collapsed="false">
      <c r="A61" s="11" t="n">
        <v>7</v>
      </c>
      <c r="B61" s="12" t="s">
        <v>213</v>
      </c>
      <c r="C61" s="13" t="s">
        <v>230</v>
      </c>
      <c r="D61" s="12" t="s">
        <v>231</v>
      </c>
      <c r="E61" s="12" t="s">
        <v>232</v>
      </c>
      <c r="F61" s="7" t="s">
        <v>120</v>
      </c>
      <c r="G61" s="8"/>
      <c r="H61" s="8"/>
      <c r="I61" s="14" t="str">
        <f aca="false">IF(AND(G61&lt;&gt;"",H61&lt;&gt;""),H61-G61+1,"")</f>
        <v/>
      </c>
      <c r="J61" s="10"/>
    </row>
    <row r="62" customFormat="false" ht="15" hidden="false" customHeight="false" outlineLevel="0" collapsed="false">
      <c r="A62" s="11" t="n">
        <v>7</v>
      </c>
      <c r="B62" s="12" t="s">
        <v>213</v>
      </c>
      <c r="C62" s="13" t="s">
        <v>233</v>
      </c>
      <c r="D62" s="12" t="s">
        <v>234</v>
      </c>
      <c r="E62" s="12" t="s">
        <v>235</v>
      </c>
      <c r="F62" s="7" t="s">
        <v>120</v>
      </c>
      <c r="G62" s="8"/>
      <c r="H62" s="8"/>
      <c r="I62" s="14" t="str">
        <f aca="false">IF(AND(G62&lt;&gt;"",H62&lt;&gt;""),H62-G62+1,"")</f>
        <v/>
      </c>
      <c r="J62" s="10"/>
    </row>
  </sheetData>
  <autoFilter ref="A4:J62"/>
  <mergeCells count="1">
    <mergeCell ref="A2:J2"/>
  </mergeCells>
  <conditionalFormatting sqref="F5:F262">
    <cfRule type="expression" priority="2" aboveAverage="0" equalAverage="0" bottom="0" percent="0" rank="0" text="" dxfId="9">
      <formula>$F5="Done"</formula>
    </cfRule>
    <cfRule type="expression" priority="3" aboveAverage="0" equalAverage="0" bottom="0" percent="0" rank="0" text="" dxfId="10">
      <formula>$F5="In progress"</formula>
    </cfRule>
    <cfRule type="expression" priority="4" aboveAverage="0" equalAverage="0" bottom="0" percent="0" rank="0" text="" dxfId="11">
      <formula>$F5="Blocked"</formula>
    </cfRule>
  </conditionalFormatting>
  <dataValidations count="2">
    <dataValidation allowBlank="true" errorStyle="stop" operator="between" showDropDown="false" showErrorMessage="false" showInputMessage="false" sqref="F5:F262" type="list">
      <formula1>"Not started,In progress,Blocked,Done"</formula1>
      <formula2>0</formula2>
    </dataValidation>
    <dataValidation allowBlank="true" error="Enter a date, e.g. 22-Oct-2026" errorStyle="stop" operator="greaterThan" showDropDown="false" showErrorMessage="true" showInputMessage="false" sqref="G5:H262" type="date">
      <formula1>DATE(2020,1,1)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8" min="7" style="0" width="11"/>
    <col collapsed="false" customWidth="true" hidden="false" outlineLevel="0" max="10" min="9" style="0" width="13"/>
  </cols>
  <sheetData>
    <row r="1" customFormat="false" ht="17.35" hidden="false" customHeight="false" outlineLevel="0" collapsed="false">
      <c r="A1" s="1" t="s">
        <v>236</v>
      </c>
    </row>
    <row r="3" customFormat="false" ht="26.85" hidden="false" customHeight="false" outlineLevel="0" collapsed="false">
      <c r="A3" s="3" t="s">
        <v>2</v>
      </c>
      <c r="B3" s="3" t="s">
        <v>3</v>
      </c>
      <c r="C3" s="3" t="s">
        <v>237</v>
      </c>
      <c r="D3" s="3" t="s">
        <v>16</v>
      </c>
      <c r="E3" s="3" t="s">
        <v>28</v>
      </c>
      <c r="F3" s="3" t="s">
        <v>238</v>
      </c>
      <c r="G3" s="3" t="s">
        <v>120</v>
      </c>
      <c r="H3" s="3" t="s">
        <v>239</v>
      </c>
      <c r="I3" s="3" t="s">
        <v>240</v>
      </c>
      <c r="J3" s="3" t="s">
        <v>241</v>
      </c>
    </row>
    <row r="4" customFormat="false" ht="15" hidden="false" customHeight="false" outlineLevel="0" collapsed="false">
      <c r="A4" s="15" t="n">
        <v>0</v>
      </c>
      <c r="B4" s="15" t="s">
        <v>12</v>
      </c>
      <c r="C4" s="15" t="n">
        <f aca="false">COUNTIF(Plan!$A$5:$A$262,A4)</f>
        <v>7</v>
      </c>
      <c r="D4" s="15" t="n">
        <f aca="false">COUNTIFS(Plan!$A$5:$A$262,$A4,Plan!$F$5:$F$262,"Done")</f>
        <v>6</v>
      </c>
      <c r="E4" s="15" t="n">
        <f aca="false">COUNTIFS(Plan!$A$5:$A$262,$A4,Plan!$F$5:$F$262,"In progress")</f>
        <v>1</v>
      </c>
      <c r="F4" s="15" t="n">
        <f aca="false">COUNTIFS(Plan!$A$5:$A$262,$A4,Plan!$F$5:$F$262,"Blocked")</f>
        <v>0</v>
      </c>
      <c r="G4" s="15" t="n">
        <f aca="false">C4-D4-E4-F4</f>
        <v>0</v>
      </c>
      <c r="H4" s="16" t="n">
        <f aca="false">IF(C4=0,0,D4/C4)</f>
        <v>0.857142857142857</v>
      </c>
      <c r="I4" s="17" t="n">
        <f aca="false">IF(_xlfn.MINIFS(Plan!$G$5:$G$262,Plan!$A$5:$A$262,A4)=0,"",_xlfn.MINIFS(Plan!$G$5:$G$262,Plan!$A$5:$A$262,A4))</f>
        <v>46317</v>
      </c>
      <c r="J4" s="17" t="n">
        <f aca="false">IF(_xlfn.MAXIFS(Plan!$H$5:$H$262,Plan!$A$5:$A$262,A4)=0,"",_xlfn.MAXIFS(Plan!$H$5:$H$262,Plan!$A$5:$A$262,A4))</f>
        <v>46317</v>
      </c>
    </row>
    <row r="5" customFormat="false" ht="15" hidden="false" customHeight="false" outlineLevel="0" collapsed="false">
      <c r="A5" s="15" t="n">
        <v>1</v>
      </c>
      <c r="B5" s="15" t="s">
        <v>42</v>
      </c>
      <c r="C5" s="15" t="n">
        <f aca="false">COUNTIF(Plan!$A$5:$A$262,A5)</f>
        <v>8</v>
      </c>
      <c r="D5" s="15" t="n">
        <f aca="false">COUNTIFS(Plan!$A$5:$A$262,$A5,Plan!$F$5:$F$262,"Done")</f>
        <v>7</v>
      </c>
      <c r="E5" s="15" t="n">
        <f aca="false">COUNTIFS(Plan!$A$5:$A$262,$A5,Plan!$F$5:$F$262,"In progress")</f>
        <v>1</v>
      </c>
      <c r="F5" s="15" t="n">
        <f aca="false">COUNTIFS(Plan!$A$5:$A$262,$A5,Plan!$F$5:$F$262,"Blocked")</f>
        <v>0</v>
      </c>
      <c r="G5" s="15" t="n">
        <f aca="false">C5-D5-E5-F5</f>
        <v>0</v>
      </c>
      <c r="H5" s="16" t="n">
        <f aca="false">IF(C5=0,0,D5/C5)</f>
        <v>0.875</v>
      </c>
      <c r="I5" s="17" t="n">
        <f aca="false">IF(_xlfn.MINIFS(Plan!$G$5:$G$262,Plan!$A$5:$A$262,A5)=0,"",_xlfn.MINIFS(Plan!$G$5:$G$262,Plan!$A$5:$A$262,A5))</f>
        <v>46317</v>
      </c>
      <c r="J5" s="17" t="n">
        <f aca="false">IF(_xlfn.MAXIFS(Plan!$H$5:$H$262,Plan!$A$5:$A$262,A5)=0,"",_xlfn.MAXIFS(Plan!$H$5:$H$262,Plan!$A$5:$A$262,A5))</f>
        <v>46317</v>
      </c>
    </row>
    <row r="6" customFormat="false" ht="15" hidden="false" customHeight="false" outlineLevel="0" collapsed="false">
      <c r="A6" s="15" t="n">
        <v>2</v>
      </c>
      <c r="B6" s="15" t="s">
        <v>75</v>
      </c>
      <c r="C6" s="15" t="n">
        <f aca="false">COUNTIF(Plan!$A$5:$A$262,A6)</f>
        <v>7</v>
      </c>
      <c r="D6" s="15" t="n">
        <f aca="false">COUNTIFS(Plan!$A$5:$A$262,$A6,Plan!$F$5:$F$262,"Done")</f>
        <v>0</v>
      </c>
      <c r="E6" s="15" t="n">
        <f aca="false">COUNTIFS(Plan!$A$5:$A$262,$A6,Plan!$F$5:$F$262,"In progress")</f>
        <v>7</v>
      </c>
      <c r="F6" s="15" t="n">
        <f aca="false">COUNTIFS(Plan!$A$5:$A$262,$A6,Plan!$F$5:$F$262,"Blocked")</f>
        <v>0</v>
      </c>
      <c r="G6" s="15" t="n">
        <f aca="false">C6-D6-E6-F6</f>
        <v>0</v>
      </c>
      <c r="H6" s="16" t="n">
        <f aca="false">IF(C6=0,0,D6/C6)</f>
        <v>0</v>
      </c>
      <c r="I6" s="17" t="n">
        <f aca="false">IF(_xlfn.MINIFS(Plan!$G$5:$G$262,Plan!$A$5:$A$262,A6)=0,"",_xlfn.MINIFS(Plan!$G$5:$G$262,Plan!$A$5:$A$262,A6))</f>
        <v>46317</v>
      </c>
      <c r="J6" s="17" t="str">
        <f aca="false">IF(_xlfn.MAXIFS(Plan!$H$5:$H$262,Plan!$A$5:$A$262,A6)=0,"",_xlfn.MAXIFS(Plan!$H$5:$H$262,Plan!$A$5:$A$262,A6))</f>
        <v/>
      </c>
    </row>
    <row r="7" customFormat="false" ht="15" hidden="false" customHeight="false" outlineLevel="0" collapsed="false">
      <c r="A7" s="15" t="n">
        <v>3</v>
      </c>
      <c r="B7" s="15" t="s">
        <v>104</v>
      </c>
      <c r="C7" s="15" t="n">
        <f aca="false">COUNTIF(Plan!$A$5:$A$262,A7)</f>
        <v>7</v>
      </c>
      <c r="D7" s="15" t="n">
        <f aca="false">COUNTIFS(Plan!$A$5:$A$262,$A7,Plan!$F$5:$F$262,"Done")</f>
        <v>0</v>
      </c>
      <c r="E7" s="15" t="n">
        <f aca="false">COUNTIFS(Plan!$A$5:$A$262,$A7,Plan!$F$5:$F$262,"In progress")</f>
        <v>3</v>
      </c>
      <c r="F7" s="15" t="n">
        <f aca="false">COUNTIFS(Plan!$A$5:$A$262,$A7,Plan!$F$5:$F$262,"Blocked")</f>
        <v>0</v>
      </c>
      <c r="G7" s="15" t="n">
        <f aca="false">C7-D7-E7-F7</f>
        <v>4</v>
      </c>
      <c r="H7" s="16" t="n">
        <f aca="false">IF(C7=0,0,D7/C7)</f>
        <v>0</v>
      </c>
      <c r="I7" s="17" t="n">
        <f aca="false">IF(_xlfn.MINIFS(Plan!$G$5:$G$262,Plan!$A$5:$A$262,A7)=0,"",_xlfn.MINIFS(Plan!$G$5:$G$262,Plan!$A$5:$A$262,A7))</f>
        <v>46317</v>
      </c>
      <c r="J7" s="17" t="str">
        <f aca="false">IF(_xlfn.MAXIFS(Plan!$H$5:$H$262,Plan!$A$5:$A$262,A7)=0,"",_xlfn.MAXIFS(Plan!$H$5:$H$262,Plan!$A$5:$A$262,A7))</f>
        <v/>
      </c>
    </row>
    <row r="8" customFormat="false" ht="15" hidden="false" customHeight="false" outlineLevel="0" collapsed="false">
      <c r="A8" s="15" t="n">
        <v>4</v>
      </c>
      <c r="B8" s="15" t="s">
        <v>132</v>
      </c>
      <c r="C8" s="15" t="n">
        <f aca="false">COUNTIF(Plan!$A$5:$A$262,A8)</f>
        <v>6</v>
      </c>
      <c r="D8" s="15" t="n">
        <f aca="false">COUNTIFS(Plan!$A$5:$A$262,$A8,Plan!$F$5:$F$262,"Done")</f>
        <v>1</v>
      </c>
      <c r="E8" s="15" t="n">
        <f aca="false">COUNTIFS(Plan!$A$5:$A$262,$A8,Plan!$F$5:$F$262,"In progress")</f>
        <v>3</v>
      </c>
      <c r="F8" s="15" t="n">
        <f aca="false">COUNTIFS(Plan!$A$5:$A$262,$A8,Plan!$F$5:$F$262,"Blocked")</f>
        <v>0</v>
      </c>
      <c r="G8" s="15" t="n">
        <f aca="false">C8-D8-E8-F8</f>
        <v>2</v>
      </c>
      <c r="H8" s="16" t="n">
        <f aca="false">IF(C8=0,0,D8/C8)</f>
        <v>0.166666666666667</v>
      </c>
      <c r="I8" s="17" t="n">
        <f aca="false">IF(_xlfn.MINIFS(Plan!$G$5:$G$262,Plan!$A$5:$A$262,A8)=0,"",_xlfn.MINIFS(Plan!$G$5:$G$262,Plan!$A$5:$A$262,A8))</f>
        <v>46317</v>
      </c>
      <c r="J8" s="17" t="str">
        <f aca="false">IF(_xlfn.MAXIFS(Plan!$H$5:$H$262,Plan!$A$5:$A$262,A8)=0,"",_xlfn.MAXIFS(Plan!$H$5:$H$262,Plan!$A$5:$A$262,A8))</f>
        <v/>
      </c>
    </row>
    <row r="9" customFormat="false" ht="15" hidden="false" customHeight="false" outlineLevel="0" collapsed="false">
      <c r="A9" s="15" t="n">
        <v>5</v>
      </c>
      <c r="B9" s="15" t="s">
        <v>156</v>
      </c>
      <c r="C9" s="15" t="n">
        <f aca="false">COUNTIF(Plan!$A$5:$A$262,A9)</f>
        <v>11</v>
      </c>
      <c r="D9" s="15" t="n">
        <f aca="false">COUNTIFS(Plan!$A$5:$A$262,$A9,Plan!$F$5:$F$262,"Done")</f>
        <v>0</v>
      </c>
      <c r="E9" s="15" t="n">
        <f aca="false">COUNTIFS(Plan!$A$5:$A$262,$A9,Plan!$F$5:$F$262,"In progress")</f>
        <v>7</v>
      </c>
      <c r="F9" s="15" t="n">
        <f aca="false">COUNTIFS(Plan!$A$5:$A$262,$A9,Plan!$F$5:$F$262,"Blocked")</f>
        <v>0</v>
      </c>
      <c r="G9" s="15" t="n">
        <f aca="false">C9-D9-E9-F9</f>
        <v>4</v>
      </c>
      <c r="H9" s="16" t="n">
        <f aca="false">IF(C9=0,0,D9/C9)</f>
        <v>0</v>
      </c>
      <c r="I9" s="17" t="n">
        <f aca="false">IF(_xlfn.MINIFS(Plan!$G$5:$G$262,Plan!$A$5:$A$262,A9)=0,"",_xlfn.MINIFS(Plan!$G$5:$G$262,Plan!$A$5:$A$262,A9))</f>
        <v>46317</v>
      </c>
      <c r="J9" s="17" t="str">
        <f aca="false">IF(_xlfn.MAXIFS(Plan!$H$5:$H$262,Plan!$A$5:$A$262,A9)=0,"",_xlfn.MAXIFS(Plan!$H$5:$H$262,Plan!$A$5:$A$262,A9))</f>
        <v/>
      </c>
    </row>
    <row r="10" customFormat="false" ht="15" hidden="false" customHeight="false" outlineLevel="0" collapsed="false">
      <c r="A10" s="15" t="n">
        <v>6</v>
      </c>
      <c r="B10" s="15" t="s">
        <v>197</v>
      </c>
      <c r="C10" s="15" t="n">
        <f aca="false">COUNTIF(Plan!$A$5:$A$262,A10)</f>
        <v>5</v>
      </c>
      <c r="D10" s="15" t="n">
        <f aca="false">COUNTIFS(Plan!$A$5:$A$262,$A10,Plan!$F$5:$F$262,"Done")</f>
        <v>0</v>
      </c>
      <c r="E10" s="15" t="n">
        <f aca="false">COUNTIFS(Plan!$A$5:$A$262,$A10,Plan!$F$5:$F$262,"In progress")</f>
        <v>0</v>
      </c>
      <c r="F10" s="15" t="n">
        <f aca="false">COUNTIFS(Plan!$A$5:$A$262,$A10,Plan!$F$5:$F$262,"Blocked")</f>
        <v>0</v>
      </c>
      <c r="G10" s="15" t="n">
        <f aca="false">C10-D10-E10-F10</f>
        <v>5</v>
      </c>
      <c r="H10" s="16" t="n">
        <f aca="false">IF(C10=0,0,D10/C10)</f>
        <v>0</v>
      </c>
      <c r="I10" s="17" t="str">
        <f aca="false">IF(_xlfn.MINIFS(Plan!$G$5:$G$262,Plan!$A$5:$A$262,A10)=0,"",_xlfn.MINIFS(Plan!$G$5:$G$262,Plan!$A$5:$A$262,A10))</f>
        <v/>
      </c>
      <c r="J10" s="17" t="str">
        <f aca="false">IF(_xlfn.MAXIFS(Plan!$H$5:$H$262,Plan!$A$5:$A$262,A10)=0,"",_xlfn.MAXIFS(Plan!$H$5:$H$262,Plan!$A$5:$A$262,A10))</f>
        <v/>
      </c>
    </row>
    <row r="11" customFormat="false" ht="15" hidden="false" customHeight="false" outlineLevel="0" collapsed="false">
      <c r="A11" s="15" t="n">
        <v>7</v>
      </c>
      <c r="B11" s="15" t="s">
        <v>213</v>
      </c>
      <c r="C11" s="15" t="n">
        <f aca="false">COUNTIF(Plan!$A$5:$A$262,A11)</f>
        <v>7</v>
      </c>
      <c r="D11" s="15" t="n">
        <f aca="false">COUNTIFS(Plan!$A$5:$A$262,$A11,Plan!$F$5:$F$262,"Done")</f>
        <v>0</v>
      </c>
      <c r="E11" s="15" t="n">
        <f aca="false">COUNTIFS(Plan!$A$5:$A$262,$A11,Plan!$F$5:$F$262,"In progress")</f>
        <v>0</v>
      </c>
      <c r="F11" s="15" t="n">
        <f aca="false">COUNTIFS(Plan!$A$5:$A$262,$A11,Plan!$F$5:$F$262,"Blocked")</f>
        <v>0</v>
      </c>
      <c r="G11" s="15" t="n">
        <f aca="false">C11-D11-E11-F11</f>
        <v>7</v>
      </c>
      <c r="H11" s="16" t="n">
        <f aca="false">IF(C11=0,0,D11/C11)</f>
        <v>0</v>
      </c>
      <c r="I11" s="17" t="str">
        <f aca="false">IF(_xlfn.MINIFS(Plan!$G$5:$G$262,Plan!$A$5:$A$262,A11)=0,"",_xlfn.MINIFS(Plan!$G$5:$G$262,Plan!$A$5:$A$262,A11))</f>
        <v/>
      </c>
      <c r="J11" s="17" t="str">
        <f aca="false">IF(_xlfn.MAXIFS(Plan!$H$5:$H$262,Plan!$A$5:$A$262,A11)=0,"",_xlfn.MAXIFS(Plan!$H$5:$H$262,Plan!$A$5:$A$262,A11))</f>
        <v/>
      </c>
    </row>
    <row r="12" customFormat="false" ht="15" hidden="false" customHeight="false" outlineLevel="0" collapsed="false">
      <c r="A12" s="18"/>
      <c r="B12" s="18" t="s">
        <v>242</v>
      </c>
      <c r="C12" s="18" t="n">
        <f aca="false">SUM(C4:C11)</f>
        <v>58</v>
      </c>
      <c r="D12" s="18" t="n">
        <f aca="false">SUM(D4:D11)</f>
        <v>14</v>
      </c>
      <c r="E12" s="18" t="n">
        <f aca="false">SUM(E4:E11)</f>
        <v>22</v>
      </c>
      <c r="F12" s="18" t="n">
        <f aca="false">SUM(F4:F11)</f>
        <v>0</v>
      </c>
      <c r="G12" s="18" t="n">
        <f aca="false">SUM(G4:G11)</f>
        <v>22</v>
      </c>
      <c r="H12" s="19" t="n">
        <f aca="false">IF(C12=0,0,D12/C12)</f>
        <v>0.241379310344828</v>
      </c>
      <c r="I12" s="18"/>
      <c r="J12" s="18"/>
    </row>
    <row r="14" customFormat="false" ht="15" hidden="false" customHeight="false" outlineLevel="0" collapsed="false">
      <c r="A14" s="20" t="s">
        <v>243</v>
      </c>
    </row>
  </sheetData>
  <conditionalFormatting sqref="H4:H12">
    <cfRule type="dataBar" priority="2">
      <dataBar showValue="1" minLength="10" maxLength="90">
        <cfvo type="num" val="0"/>
        <cfvo type="num" val="1"/>
        <color rgb="FF4FBF93"/>
      </dataBar>
      <extLst>
        <ext xmlns:x14="http://schemas.microsoft.com/office/spreadsheetml/2009/9/main" uri="{B025F937-C7B1-47D3-B67F-A62EFF666E3E}">
          <x14:id>{12FEC671-1068-4164-B43E-E03610888B23}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FEC671-1068-4164-B43E-E03610888B23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FBF93"/>
              <x14:axisColor rgb="FF000000"/>
            </x14:dataBar>
          </x14:cfRule>
          <xm:sqref>H4:H12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2026-10-22T17:44:37Z</dcterms:created>
  <dc:creator>openpyxl</dc:creator>
  <dc:description/>
  <dc:language>en-US</dc:language>
  <cp:lastModifiedBy/>
  <dcterms:modified xsi:type="dcterms:W3CDTF">2026-10-22T17:44:37Z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